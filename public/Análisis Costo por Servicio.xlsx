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81D56A1-7ACC-49DC-A4A6-B066EDB12D21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Ene-Abr" sheetId="1" r:id="rId1"/>
    <sheet name="May-Ago" sheetId="2" r:id="rId2"/>
    <sheet name="Sep-D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34" i="3"/>
  <c r="E36" i="3" s="1"/>
  <c r="E35" i="2"/>
  <c r="E34" i="2"/>
  <c r="E36" i="2" s="1"/>
  <c r="E35" i="1"/>
  <c r="E34" i="1"/>
  <c r="E36" i="1" s="1"/>
  <c r="P29" i="3"/>
  <c r="R25" i="3" s="1"/>
  <c r="J29" i="3"/>
  <c r="L27" i="3" s="1"/>
  <c r="E29" i="3"/>
  <c r="D29" i="3"/>
  <c r="T29" i="3" s="1"/>
  <c r="Q28" i="3"/>
  <c r="K28" i="3"/>
  <c r="F28" i="3"/>
  <c r="E28" i="3"/>
  <c r="R27" i="3"/>
  <c r="Q27" i="3"/>
  <c r="K27" i="3"/>
  <c r="E27" i="3"/>
  <c r="R26" i="3"/>
  <c r="Q26" i="3"/>
  <c r="K26" i="3"/>
  <c r="F26" i="3"/>
  <c r="E26" i="3"/>
  <c r="Q25" i="3"/>
  <c r="K25" i="3"/>
  <c r="F25" i="3"/>
  <c r="E25" i="3"/>
  <c r="R24" i="3"/>
  <c r="Q24" i="3"/>
  <c r="K24" i="3"/>
  <c r="F24" i="3"/>
  <c r="E24" i="3"/>
  <c r="Q23" i="3"/>
  <c r="Q29" i="3" s="1"/>
  <c r="O29" i="3" s="1"/>
  <c r="K23" i="3"/>
  <c r="K29" i="3" s="1"/>
  <c r="I29" i="3" s="1"/>
  <c r="F23" i="3"/>
  <c r="E23" i="3"/>
  <c r="R12" i="3"/>
  <c r="P12" i="3"/>
  <c r="R9" i="3" s="1"/>
  <c r="J12" i="3"/>
  <c r="L6" i="3" s="1"/>
  <c r="D12" i="3"/>
  <c r="T9" i="3" s="1"/>
  <c r="R11" i="3"/>
  <c r="Q11" i="3"/>
  <c r="K11" i="3"/>
  <c r="E11" i="3"/>
  <c r="R10" i="3"/>
  <c r="Q10" i="3"/>
  <c r="L10" i="3"/>
  <c r="K10" i="3"/>
  <c r="E10" i="3"/>
  <c r="Q9" i="3"/>
  <c r="K9" i="3"/>
  <c r="E9" i="3"/>
  <c r="R8" i="3"/>
  <c r="Q8" i="3"/>
  <c r="L8" i="3"/>
  <c r="K8" i="3"/>
  <c r="E8" i="3"/>
  <c r="Q7" i="3"/>
  <c r="L7" i="3"/>
  <c r="K7" i="3"/>
  <c r="E7" i="3"/>
  <c r="E12" i="3" s="1"/>
  <c r="R6" i="3"/>
  <c r="Q6" i="3"/>
  <c r="Q12" i="3" s="1"/>
  <c r="O12" i="3" s="1"/>
  <c r="K6" i="3"/>
  <c r="K12" i="3" s="1"/>
  <c r="I12" i="3" s="1"/>
  <c r="E6" i="3"/>
  <c r="P29" i="2"/>
  <c r="T28" i="2" s="1"/>
  <c r="K29" i="2"/>
  <c r="I29" i="2" s="1"/>
  <c r="J29" i="2"/>
  <c r="L24" i="2" s="1"/>
  <c r="D29" i="2"/>
  <c r="T27" i="2" s="1"/>
  <c r="Q28" i="2"/>
  <c r="L28" i="2"/>
  <c r="K28" i="2"/>
  <c r="F28" i="2"/>
  <c r="E28" i="2"/>
  <c r="Q27" i="2"/>
  <c r="L27" i="2"/>
  <c r="K27" i="2"/>
  <c r="F27" i="2"/>
  <c r="E27" i="2"/>
  <c r="T26" i="2"/>
  <c r="Q26" i="2"/>
  <c r="L26" i="2"/>
  <c r="K26" i="2"/>
  <c r="E26" i="2"/>
  <c r="Q25" i="2"/>
  <c r="L25" i="2"/>
  <c r="K25" i="2"/>
  <c r="F25" i="2"/>
  <c r="E25" i="2"/>
  <c r="R24" i="2"/>
  <c r="Q24" i="2"/>
  <c r="K24" i="2"/>
  <c r="E24" i="2"/>
  <c r="Q23" i="2"/>
  <c r="Q29" i="2" s="1"/>
  <c r="O29" i="2" s="1"/>
  <c r="L23" i="2"/>
  <c r="K23" i="2"/>
  <c r="F23" i="2"/>
  <c r="E23" i="2"/>
  <c r="E29" i="2" s="1"/>
  <c r="P12" i="2"/>
  <c r="R8" i="2" s="1"/>
  <c r="J12" i="2"/>
  <c r="L10" i="2" s="1"/>
  <c r="F12" i="2"/>
  <c r="E12" i="2"/>
  <c r="D12" i="2"/>
  <c r="T12" i="2" s="1"/>
  <c r="Q11" i="2"/>
  <c r="K11" i="2"/>
  <c r="F11" i="2"/>
  <c r="E11" i="2"/>
  <c r="R10" i="2"/>
  <c r="Q10" i="2"/>
  <c r="K10" i="2"/>
  <c r="E10" i="2"/>
  <c r="R9" i="2"/>
  <c r="Q9" i="2"/>
  <c r="K9" i="2"/>
  <c r="K12" i="2" s="1"/>
  <c r="I12" i="2" s="1"/>
  <c r="F9" i="2"/>
  <c r="E9" i="2"/>
  <c r="T8" i="2"/>
  <c r="Q8" i="2"/>
  <c r="K8" i="2"/>
  <c r="F8" i="2"/>
  <c r="E8" i="2"/>
  <c r="R7" i="2"/>
  <c r="Q7" i="2"/>
  <c r="K7" i="2"/>
  <c r="F7" i="2"/>
  <c r="E7" i="2"/>
  <c r="Q6" i="2"/>
  <c r="Q12" i="2" s="1"/>
  <c r="O12" i="2" s="1"/>
  <c r="K6" i="2"/>
  <c r="F6" i="2"/>
  <c r="E6" i="2"/>
  <c r="Q29" i="1"/>
  <c r="O29" i="1" s="1"/>
  <c r="P29" i="1"/>
  <c r="R26" i="1" s="1"/>
  <c r="J29" i="1"/>
  <c r="L28" i="1" s="1"/>
  <c r="D29" i="1"/>
  <c r="T26" i="1" s="1"/>
  <c r="R28" i="1"/>
  <c r="Q28" i="1"/>
  <c r="K28" i="1"/>
  <c r="E28" i="1"/>
  <c r="R27" i="1"/>
  <c r="Q27" i="1"/>
  <c r="L27" i="1"/>
  <c r="K27" i="1"/>
  <c r="E27" i="1"/>
  <c r="Q26" i="1"/>
  <c r="K26" i="1"/>
  <c r="E26" i="1"/>
  <c r="R25" i="1"/>
  <c r="Q25" i="1"/>
  <c r="L25" i="1"/>
  <c r="K25" i="1"/>
  <c r="E25" i="1"/>
  <c r="Q24" i="1"/>
  <c r="L24" i="1"/>
  <c r="K24" i="1"/>
  <c r="E24" i="1"/>
  <c r="E29" i="1" s="1"/>
  <c r="R23" i="1"/>
  <c r="Q23" i="1"/>
  <c r="L23" i="1"/>
  <c r="K23" i="1"/>
  <c r="K29" i="1" s="1"/>
  <c r="I29" i="1" s="1"/>
  <c r="E23" i="1"/>
  <c r="P12" i="1"/>
  <c r="T6" i="1" s="1"/>
  <c r="L12" i="1"/>
  <c r="K12" i="1"/>
  <c r="I12" i="1" s="1"/>
  <c r="J12" i="1"/>
  <c r="L7" i="1" s="1"/>
  <c r="D12" i="1"/>
  <c r="T10" i="1" s="1"/>
  <c r="Q11" i="1"/>
  <c r="L11" i="1"/>
  <c r="K11" i="1"/>
  <c r="F11" i="1"/>
  <c r="E11" i="1"/>
  <c r="Q10" i="1"/>
  <c r="K10" i="1"/>
  <c r="F10" i="1"/>
  <c r="E10" i="1"/>
  <c r="T9" i="1"/>
  <c r="Q9" i="1"/>
  <c r="L9" i="1"/>
  <c r="K9" i="1"/>
  <c r="E9" i="1"/>
  <c r="Q8" i="1"/>
  <c r="L8" i="1"/>
  <c r="K8" i="1"/>
  <c r="F8" i="1"/>
  <c r="E8" i="1"/>
  <c r="R7" i="1"/>
  <c r="Q7" i="1"/>
  <c r="K7" i="1"/>
  <c r="E7" i="1"/>
  <c r="Q6" i="1"/>
  <c r="Q12" i="1" s="1"/>
  <c r="O12" i="1" s="1"/>
  <c r="L6" i="1"/>
  <c r="K6" i="1"/>
  <c r="F6" i="1"/>
  <c r="E6" i="1"/>
  <c r="E12" i="1" s="1"/>
  <c r="E15" i="2" l="1"/>
  <c r="E15" i="1"/>
  <c r="C12" i="1"/>
  <c r="E15" i="3"/>
  <c r="C12" i="3"/>
  <c r="E32" i="1"/>
  <c r="C29" i="1"/>
  <c r="E32" i="2"/>
  <c r="C29" i="2"/>
  <c r="E32" i="3"/>
  <c r="F27" i="1"/>
  <c r="T28" i="1"/>
  <c r="R29" i="1"/>
  <c r="T24" i="2"/>
  <c r="L29" i="2"/>
  <c r="F10" i="3"/>
  <c r="T11" i="3"/>
  <c r="F29" i="3"/>
  <c r="T25" i="3"/>
  <c r="T7" i="1"/>
  <c r="R9" i="1"/>
  <c r="T23" i="1"/>
  <c r="T29" i="1"/>
  <c r="L7" i="2"/>
  <c r="T10" i="2"/>
  <c r="R26" i="2"/>
  <c r="T6" i="3"/>
  <c r="T12" i="3"/>
  <c r="L24" i="3"/>
  <c r="T27" i="3"/>
  <c r="R11" i="1"/>
  <c r="L9" i="2"/>
  <c r="R28" i="2"/>
  <c r="F24" i="1"/>
  <c r="T8" i="3"/>
  <c r="T26" i="3"/>
  <c r="T11" i="1"/>
  <c r="F29" i="1"/>
  <c r="L12" i="2"/>
  <c r="T24" i="3"/>
  <c r="F26" i="1"/>
  <c r="T10" i="3"/>
  <c r="L28" i="3"/>
  <c r="F7" i="1"/>
  <c r="T8" i="1"/>
  <c r="R24" i="1"/>
  <c r="L26" i="1"/>
  <c r="F28" i="1"/>
  <c r="R11" i="2"/>
  <c r="F24" i="2"/>
  <c r="T25" i="2"/>
  <c r="R7" i="3"/>
  <c r="L9" i="3"/>
  <c r="F11" i="3"/>
  <c r="R28" i="3"/>
  <c r="T25" i="1"/>
  <c r="F7" i="3"/>
  <c r="L26" i="3"/>
  <c r="R6" i="1"/>
  <c r="R29" i="2"/>
  <c r="T27" i="1"/>
  <c r="T23" i="2"/>
  <c r="T29" i="2"/>
  <c r="R8" i="1"/>
  <c r="L10" i="1"/>
  <c r="T9" i="2"/>
  <c r="R25" i="2"/>
  <c r="L23" i="3"/>
  <c r="R10" i="1"/>
  <c r="F12" i="1"/>
  <c r="F23" i="1"/>
  <c r="T24" i="1"/>
  <c r="L29" i="1"/>
  <c r="R6" i="2"/>
  <c r="L8" i="2"/>
  <c r="F10" i="2"/>
  <c r="T11" i="2"/>
  <c r="R12" i="2"/>
  <c r="R27" i="2"/>
  <c r="F29" i="2"/>
  <c r="F6" i="3"/>
  <c r="T7" i="3"/>
  <c r="L12" i="3"/>
  <c r="R23" i="3"/>
  <c r="L25" i="3"/>
  <c r="F27" i="3"/>
  <c r="T28" i="3"/>
  <c r="R29" i="3"/>
  <c r="L29" i="3"/>
  <c r="T12" i="1"/>
  <c r="L6" i="2"/>
  <c r="F9" i="1"/>
  <c r="T6" i="2"/>
  <c r="C12" i="2"/>
  <c r="F26" i="2"/>
  <c r="L11" i="3"/>
  <c r="T23" i="3"/>
  <c r="C29" i="3"/>
  <c r="R12" i="1"/>
  <c r="T7" i="2"/>
  <c r="R23" i="2"/>
  <c r="F12" i="3"/>
  <c r="L11" i="2"/>
  <c r="F9" i="3"/>
  <c r="F25" i="1"/>
  <c r="F8" i="3"/>
</calcChain>
</file>

<file path=xl/sharedStrings.xml><?xml version="1.0" encoding="utf-8"?>
<sst xmlns="http://schemas.openxmlformats.org/spreadsheetml/2006/main" count="261" uniqueCount="30">
  <si>
    <t>AGUA CALIENTE - AC</t>
  </si>
  <si>
    <t>CAS tipo A</t>
  </si>
  <si>
    <t>CAS tipo B</t>
  </si>
  <si>
    <t>CAS Provincia</t>
  </si>
  <si>
    <t>Subcategoría</t>
  </si>
  <si>
    <t>Promedio Pago (S/.)</t>
  </si>
  <si>
    <t>Total Tickets</t>
  </si>
  <si>
    <t>Total Monto (S/.)</t>
  </si>
  <si>
    <t>Part.</t>
  </si>
  <si>
    <t>Part. AC</t>
  </si>
  <si>
    <t>DUCHAS ELÉCTRICAS</t>
  </si>
  <si>
    <t>RAPIDUCHAS</t>
  </si>
  <si>
    <t>TERMA A GAS ACUMULACION</t>
  </si>
  <si>
    <t>TERMA SOLAR</t>
  </si>
  <si>
    <t>TERMAS A GAS PASO CONTINUO</t>
  </si>
  <si>
    <t>TERMAS ELECTRICAS</t>
  </si>
  <si>
    <t>TOTAL</t>
  </si>
  <si>
    <t>CxS Promedio</t>
  </si>
  <si>
    <t>LINEA BLANCA - LB</t>
  </si>
  <si>
    <t>Part. LB</t>
  </si>
  <si>
    <t>CAMPANAS CONVENCIONALES</t>
  </si>
  <si>
    <t>CAMPANAS DECORATIVAS E ISLA</t>
  </si>
  <si>
    <t>COCINAS DE PIE</t>
  </si>
  <si>
    <t>COCINAS EMPOTRABLES A GAS</t>
  </si>
  <si>
    <t>COCINAS EMPOTRABLES ELÉCTRICAS</t>
  </si>
  <si>
    <t>HORNO A GAS Y ELECTRICO</t>
  </si>
  <si>
    <t>CxS Promedio Linea Blanca</t>
  </si>
  <si>
    <t>CxS Promedio Agua Caliente</t>
  </si>
  <si>
    <t>Costo total</t>
  </si>
  <si>
    <t>Volumen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</si>
</sst>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9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/>
    <xf numFmtId="3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3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6"/>
  <sheetViews>
    <sheetView showGridLines="0" topLeftCell="A15" zoomScaleNormal="100" workbookViewId="0">
      <selection activeCell="B34" sqref="B34:E36"/>
    </sheetView>
  </sheetViews>
  <sheetFormatPr baseColWidth="10" defaultColWidth="8.88671875" defaultRowHeight="14.4" customHeight="1" x14ac:dyDescent="0.3"/>
  <cols>
    <col min="2" max="2" width="28.21875" customWidth="1"/>
    <col min="3" max="3" width="9.44140625" customWidth="1"/>
    <col min="4" max="4" width="7.21875" customWidth="1"/>
    <col min="5" max="5" width="12.21875" customWidth="1"/>
    <col min="6" max="6" width="6.109375" style="1" customWidth="1"/>
    <col min="7" max="7" width="5.77734375" customWidth="1"/>
    <col min="8" max="8" width="28.21875" customWidth="1"/>
    <col min="9" max="9" width="9.44140625" customWidth="1"/>
    <col min="10" max="10" width="11.44140625" customWidth="1"/>
    <col min="11" max="11" width="12.21875" customWidth="1"/>
    <col min="12" max="12" width="6.109375" customWidth="1"/>
    <col min="13" max="13" width="5.77734375" customWidth="1"/>
    <col min="14" max="14" width="28.21875" customWidth="1"/>
    <col min="15" max="15" width="9.44140625" customWidth="1"/>
    <col min="16" max="16" width="11.44140625" customWidth="1"/>
    <col min="17" max="17" width="11.21875" customWidth="1"/>
    <col min="18" max="19" width="6.109375" customWidth="1"/>
    <col min="20" max="20" width="7.109375" customWidth="1"/>
  </cols>
  <sheetData>
    <row r="1" spans="2:20" x14ac:dyDescent="0.3"/>
    <row r="2" spans="2:20" x14ac:dyDescent="0.3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20" x14ac:dyDescent="0.3"/>
    <row r="4" spans="2:20" x14ac:dyDescent="0.3">
      <c r="B4" s="19" t="s">
        <v>1</v>
      </c>
      <c r="C4" s="19"/>
      <c r="D4" s="19"/>
      <c r="E4" s="19"/>
      <c r="F4" s="19"/>
      <c r="H4" s="19" t="s">
        <v>2</v>
      </c>
      <c r="I4" s="19"/>
      <c r="J4" s="19"/>
      <c r="K4" s="19"/>
      <c r="L4" s="19"/>
      <c r="N4" s="19" t="s">
        <v>3</v>
      </c>
      <c r="O4" s="19"/>
      <c r="P4" s="19"/>
      <c r="Q4" s="19"/>
      <c r="R4" s="19"/>
      <c r="S4" s="2"/>
    </row>
    <row r="5" spans="2:20" s="3" customFormat="1" ht="28.8" customHeight="1" x14ac:dyDescent="0.3"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H5" s="4" t="s">
        <v>4</v>
      </c>
      <c r="I5" s="4" t="s">
        <v>5</v>
      </c>
      <c r="J5" s="4" t="s">
        <v>6</v>
      </c>
      <c r="K5" s="4" t="s">
        <v>7</v>
      </c>
      <c r="L5" s="4" t="s">
        <v>8</v>
      </c>
      <c r="N5" s="4" t="s">
        <v>4</v>
      </c>
      <c r="O5" s="4" t="s">
        <v>5</v>
      </c>
      <c r="P5" s="4" t="s">
        <v>6</v>
      </c>
      <c r="Q5" s="4" t="s">
        <v>7</v>
      </c>
      <c r="R5" s="4" t="s">
        <v>8</v>
      </c>
      <c r="S5" s="5"/>
      <c r="T5" s="4" t="s">
        <v>9</v>
      </c>
    </row>
    <row r="6" spans="2:20" x14ac:dyDescent="0.3">
      <c r="B6" s="6" t="s">
        <v>10</v>
      </c>
      <c r="C6" s="7">
        <v>0</v>
      </c>
      <c r="D6" s="6">
        <v>0</v>
      </c>
      <c r="E6" s="7">
        <f>C6*D6</f>
        <v>0</v>
      </c>
      <c r="F6" s="8">
        <f>D6/$D$12</f>
        <v>0</v>
      </c>
      <c r="H6" s="6" t="s">
        <v>10</v>
      </c>
      <c r="I6" s="7">
        <v>28</v>
      </c>
      <c r="J6" s="6">
        <v>1</v>
      </c>
      <c r="K6" s="7">
        <f>I6*J6</f>
        <v>28</v>
      </c>
      <c r="L6" s="8">
        <f>J6/$J$12</f>
        <v>8.2101806239737272E-4</v>
      </c>
      <c r="N6" s="6" t="s">
        <v>10</v>
      </c>
      <c r="O6" s="7">
        <v>27.67</v>
      </c>
      <c r="P6" s="6">
        <v>3</v>
      </c>
      <c r="Q6" s="7">
        <f>O6*P6</f>
        <v>83.01</v>
      </c>
      <c r="R6" s="8">
        <f>P6/$P$12</f>
        <v>4.6874999999999998E-3</v>
      </c>
      <c r="S6" s="9"/>
      <c r="T6" s="8">
        <f>(D6+J6+P6)/($D$12+$J$12+$P$12)</f>
        <v>7.2228241242325753E-4</v>
      </c>
    </row>
    <row r="7" spans="2:20" x14ac:dyDescent="0.3">
      <c r="B7" s="6" t="s">
        <v>11</v>
      </c>
      <c r="C7" s="7">
        <v>27.47</v>
      </c>
      <c r="D7" s="10">
        <v>1573</v>
      </c>
      <c r="E7" s="7">
        <f t="shared" ref="E7:E11" si="0">C7*D7</f>
        <v>43210.31</v>
      </c>
      <c r="F7" s="8">
        <f t="shared" ref="F7:F11" si="1">D7/$D$12</f>
        <v>0.42744565217391306</v>
      </c>
      <c r="H7" s="6" t="s">
        <v>11</v>
      </c>
      <c r="I7" s="7">
        <v>28.43</v>
      </c>
      <c r="J7" s="10">
        <v>669</v>
      </c>
      <c r="K7" s="7">
        <f t="shared" ref="K7:K11" si="2">I7*J7</f>
        <v>19019.669999999998</v>
      </c>
      <c r="L7" s="8">
        <f t="shared" ref="L7:L11" si="3">J7/$J$12</f>
        <v>0.54926108374384242</v>
      </c>
      <c r="N7" s="6" t="s">
        <v>11</v>
      </c>
      <c r="O7" s="7">
        <v>31.96</v>
      </c>
      <c r="P7" s="10">
        <v>535</v>
      </c>
      <c r="Q7" s="7">
        <f t="shared" ref="Q7:Q11" si="4">O7*P7</f>
        <v>17098.600000000002</v>
      </c>
      <c r="R7" s="8">
        <f t="shared" ref="R7:R11" si="5">P7/$P$12</f>
        <v>0.8359375</v>
      </c>
      <c r="S7" s="9"/>
      <c r="T7" s="8">
        <f t="shared" ref="T7:T11" si="6">(D7+J7+P7)/($D$12+$J$12+$P$12)</f>
        <v>0.50144456482484656</v>
      </c>
    </row>
    <row r="8" spans="2:20" x14ac:dyDescent="0.3">
      <c r="B8" s="6" t="s">
        <v>12</v>
      </c>
      <c r="C8" s="7">
        <v>34.46</v>
      </c>
      <c r="D8" s="6">
        <v>28</v>
      </c>
      <c r="E8" s="7">
        <f t="shared" si="0"/>
        <v>964.88</v>
      </c>
      <c r="F8" s="8">
        <f t="shared" si="1"/>
        <v>7.6086956521739134E-3</v>
      </c>
      <c r="H8" s="6" t="s">
        <v>12</v>
      </c>
      <c r="I8" s="7">
        <v>38.33</v>
      </c>
      <c r="J8" s="6">
        <v>6</v>
      </c>
      <c r="K8" s="7">
        <f t="shared" si="2"/>
        <v>229.98</v>
      </c>
      <c r="L8" s="8">
        <f t="shared" si="3"/>
        <v>4.9261083743842365E-3</v>
      </c>
      <c r="N8" s="6" t="s">
        <v>12</v>
      </c>
      <c r="O8" s="7">
        <v>0</v>
      </c>
      <c r="P8" s="6">
        <v>0</v>
      </c>
      <c r="Q8" s="7">
        <f t="shared" si="4"/>
        <v>0</v>
      </c>
      <c r="R8" s="8">
        <f t="shared" si="5"/>
        <v>0</v>
      </c>
      <c r="S8" s="9"/>
      <c r="T8" s="8">
        <f t="shared" si="6"/>
        <v>6.1394005055976884E-3</v>
      </c>
    </row>
    <row r="9" spans="2:20" x14ac:dyDescent="0.3">
      <c r="B9" s="6" t="s">
        <v>13</v>
      </c>
      <c r="C9" s="7">
        <v>0</v>
      </c>
      <c r="D9" s="6">
        <v>0</v>
      </c>
      <c r="E9" s="7">
        <f t="shared" si="0"/>
        <v>0</v>
      </c>
      <c r="F9" s="8">
        <f t="shared" si="1"/>
        <v>0</v>
      </c>
      <c r="H9" s="6" t="s">
        <v>13</v>
      </c>
      <c r="I9" s="7">
        <v>0</v>
      </c>
      <c r="J9" s="6">
        <v>0</v>
      </c>
      <c r="K9" s="7">
        <f t="shared" si="2"/>
        <v>0</v>
      </c>
      <c r="L9" s="8">
        <f t="shared" si="3"/>
        <v>0</v>
      </c>
      <c r="N9" s="6" t="s">
        <v>13</v>
      </c>
      <c r="O9" s="7">
        <v>0</v>
      </c>
      <c r="P9" s="6">
        <v>0</v>
      </c>
      <c r="Q9" s="7">
        <f t="shared" si="4"/>
        <v>0</v>
      </c>
      <c r="R9" s="8">
        <f t="shared" si="5"/>
        <v>0</v>
      </c>
      <c r="S9" s="9"/>
      <c r="T9" s="8">
        <f t="shared" si="6"/>
        <v>0</v>
      </c>
    </row>
    <row r="10" spans="2:20" x14ac:dyDescent="0.3">
      <c r="B10" s="6" t="s">
        <v>14</v>
      </c>
      <c r="C10" s="7">
        <v>38.07</v>
      </c>
      <c r="D10" s="6">
        <v>935</v>
      </c>
      <c r="E10" s="7">
        <f t="shared" si="0"/>
        <v>35595.449999999997</v>
      </c>
      <c r="F10" s="8">
        <f t="shared" si="1"/>
        <v>0.25407608695652173</v>
      </c>
      <c r="H10" s="6" t="s">
        <v>14</v>
      </c>
      <c r="I10" s="7">
        <v>42.08</v>
      </c>
      <c r="J10" s="6">
        <v>350</v>
      </c>
      <c r="K10" s="7">
        <f t="shared" si="2"/>
        <v>14728</v>
      </c>
      <c r="L10" s="8">
        <f t="shared" si="3"/>
        <v>0.28735632183908044</v>
      </c>
      <c r="N10" s="6" t="s">
        <v>14</v>
      </c>
      <c r="O10" s="7">
        <v>58.32</v>
      </c>
      <c r="P10" s="6">
        <v>31</v>
      </c>
      <c r="Q10" s="7">
        <f t="shared" si="4"/>
        <v>1807.92</v>
      </c>
      <c r="R10" s="8">
        <f t="shared" si="5"/>
        <v>4.8437500000000001E-2</v>
      </c>
      <c r="S10" s="9"/>
      <c r="T10" s="8">
        <f t="shared" si="6"/>
        <v>0.23763091368725173</v>
      </c>
    </row>
    <row r="11" spans="2:20" x14ac:dyDescent="0.3">
      <c r="B11" s="6" t="s">
        <v>15</v>
      </c>
      <c r="C11" s="7">
        <v>33.700000000000003</v>
      </c>
      <c r="D11" s="10">
        <v>1144</v>
      </c>
      <c r="E11" s="7">
        <f t="shared" si="0"/>
        <v>38552.800000000003</v>
      </c>
      <c r="F11" s="8">
        <f t="shared" si="1"/>
        <v>0.31086956521739129</v>
      </c>
      <c r="H11" s="6" t="s">
        <v>15</v>
      </c>
      <c r="I11" s="7">
        <v>39.29</v>
      </c>
      <c r="J11" s="10">
        <v>192</v>
      </c>
      <c r="K11" s="7">
        <f t="shared" si="2"/>
        <v>7543.68</v>
      </c>
      <c r="L11" s="8">
        <f t="shared" si="3"/>
        <v>0.15763546798029557</v>
      </c>
      <c r="N11" s="6" t="s">
        <v>15</v>
      </c>
      <c r="O11" s="7">
        <v>33.68</v>
      </c>
      <c r="P11" s="10">
        <v>71</v>
      </c>
      <c r="Q11" s="7">
        <f t="shared" si="4"/>
        <v>2391.2800000000002</v>
      </c>
      <c r="R11" s="8">
        <f t="shared" si="5"/>
        <v>0.11093749999999999</v>
      </c>
      <c r="S11" s="9"/>
      <c r="T11" s="8">
        <f t="shared" si="6"/>
        <v>0.25406283856988082</v>
      </c>
    </row>
    <row r="12" spans="2:20" x14ac:dyDescent="0.3">
      <c r="B12" s="11" t="s">
        <v>16</v>
      </c>
      <c r="C12" s="12">
        <f>E12/D12</f>
        <v>32.153108695652172</v>
      </c>
      <c r="D12" s="13">
        <f>SUM(D6:D11)</f>
        <v>3680</v>
      </c>
      <c r="E12" s="12">
        <f>SUM(E6:E11)</f>
        <v>118323.43999999999</v>
      </c>
      <c r="F12" s="14">
        <f>D12/(D$12+D$29)</f>
        <v>0.57125116423470967</v>
      </c>
      <c r="H12" s="11" t="s">
        <v>16</v>
      </c>
      <c r="I12" s="12">
        <f>K12/J12</f>
        <v>34.11275041050903</v>
      </c>
      <c r="J12" s="13">
        <f>SUM(J6:J11)</f>
        <v>1218</v>
      </c>
      <c r="K12" s="12">
        <f>SUM(K6:K11)</f>
        <v>41549.329999999994</v>
      </c>
      <c r="L12" s="14">
        <f>J12/(J$12+J$29)</f>
        <v>0.47485380116959064</v>
      </c>
      <c r="N12" s="11" t="s">
        <v>16</v>
      </c>
      <c r="O12" s="12">
        <f>Q12/P12</f>
        <v>33.407515624999995</v>
      </c>
      <c r="P12" s="13">
        <f>SUM(P6:P11)</f>
        <v>640</v>
      </c>
      <c r="Q12" s="12">
        <f>SUM(Q6:Q11)</f>
        <v>21380.809999999998</v>
      </c>
      <c r="R12" s="14">
        <f>P12/(P$12+P$29)</f>
        <v>0.53917438921651217</v>
      </c>
      <c r="S12" s="15"/>
      <c r="T12" s="14">
        <f>(D12+J12+P12)/($D$12+$J$12+$P$12+$P$29+$J$29+$D$29)</f>
        <v>0.54326074161271332</v>
      </c>
    </row>
    <row r="13" spans="2:20" x14ac:dyDescent="0.3"/>
    <row r="14" spans="2:20" x14ac:dyDescent="0.3"/>
    <row r="15" spans="2:20" x14ac:dyDescent="0.3">
      <c r="B15" s="20" t="s">
        <v>27</v>
      </c>
      <c r="C15" s="20"/>
      <c r="D15" s="20"/>
      <c r="E15" s="12">
        <f>(E12+K12+Q12)/(D12+J12+P12)</f>
        <v>32.72906825568797</v>
      </c>
    </row>
    <row r="16" spans="2:20" x14ac:dyDescent="0.3">
      <c r="B16" s="16"/>
      <c r="C16" s="16"/>
      <c r="D16" s="16"/>
      <c r="E16" s="17"/>
    </row>
    <row r="17" spans="2:20" x14ac:dyDescent="0.3">
      <c r="B17" s="16"/>
      <c r="C17" s="16"/>
      <c r="D17" s="16"/>
      <c r="E17" s="17"/>
    </row>
    <row r="18" spans="2:20" x14ac:dyDescent="0.3"/>
    <row r="19" spans="2:20" x14ac:dyDescent="0.3">
      <c r="B19" s="19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2:20" x14ac:dyDescent="0.3"/>
    <row r="21" spans="2:20" x14ac:dyDescent="0.3">
      <c r="B21" s="19" t="s">
        <v>1</v>
      </c>
      <c r="C21" s="19"/>
      <c r="D21" s="19"/>
      <c r="E21" s="19"/>
      <c r="F21" s="19"/>
      <c r="H21" s="19" t="s">
        <v>2</v>
      </c>
      <c r="I21" s="19"/>
      <c r="J21" s="19"/>
      <c r="K21" s="19"/>
      <c r="L21" s="19"/>
      <c r="N21" s="19" t="s">
        <v>3</v>
      </c>
      <c r="O21" s="19"/>
      <c r="P21" s="19"/>
      <c r="Q21" s="19"/>
      <c r="R21" s="19"/>
      <c r="S21" s="2"/>
    </row>
    <row r="22" spans="2:20" ht="28.8" customHeight="1" x14ac:dyDescent="0.3"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3"/>
      <c r="H22" s="4" t="s">
        <v>4</v>
      </c>
      <c r="I22" s="4" t="s">
        <v>5</v>
      </c>
      <c r="J22" s="4" t="s">
        <v>6</v>
      </c>
      <c r="K22" s="4" t="s">
        <v>7</v>
      </c>
      <c r="L22" s="4" t="s">
        <v>8</v>
      </c>
      <c r="M22" s="3"/>
      <c r="N22" s="4" t="s">
        <v>4</v>
      </c>
      <c r="O22" s="4" t="s">
        <v>5</v>
      </c>
      <c r="P22" s="4" t="s">
        <v>6</v>
      </c>
      <c r="Q22" s="4" t="s">
        <v>7</v>
      </c>
      <c r="R22" s="4" t="s">
        <v>8</v>
      </c>
      <c r="S22" s="5"/>
      <c r="T22" s="4" t="s">
        <v>19</v>
      </c>
    </row>
    <row r="23" spans="2:20" x14ac:dyDescent="0.3">
      <c r="B23" s="6" t="s">
        <v>20</v>
      </c>
      <c r="C23" s="7">
        <v>31.47</v>
      </c>
      <c r="D23" s="10">
        <v>1359</v>
      </c>
      <c r="E23" s="7">
        <f>C23*D23</f>
        <v>42767.729999999996</v>
      </c>
      <c r="F23" s="8">
        <f>D23/$D$29</f>
        <v>0.49203475742215785</v>
      </c>
      <c r="H23" s="6" t="s">
        <v>20</v>
      </c>
      <c r="I23" s="7">
        <v>36.869999999999997</v>
      </c>
      <c r="J23" s="6">
        <v>689</v>
      </c>
      <c r="K23" s="7">
        <f>I23*J23</f>
        <v>25403.429999999997</v>
      </c>
      <c r="L23" s="8">
        <f>J23/$J$29</f>
        <v>0.5115070527097253</v>
      </c>
      <c r="N23" s="6" t="s">
        <v>20</v>
      </c>
      <c r="O23" s="7">
        <v>30.68</v>
      </c>
      <c r="P23" s="6">
        <v>253</v>
      </c>
      <c r="Q23" s="7">
        <f>O23*P23</f>
        <v>7762.04</v>
      </c>
      <c r="R23" s="8">
        <f>P23/$P$29</f>
        <v>0.46252285191956122</v>
      </c>
      <c r="S23" s="9"/>
      <c r="T23" s="8">
        <f>(D23+J23+P23)/($D$29+$J$29+$P$29)</f>
        <v>0.49420103092783507</v>
      </c>
    </row>
    <row r="24" spans="2:20" x14ac:dyDescent="0.3">
      <c r="B24" s="6" t="s">
        <v>21</v>
      </c>
      <c r="C24" s="7">
        <v>40.64</v>
      </c>
      <c r="D24" s="10">
        <v>110</v>
      </c>
      <c r="E24" s="7">
        <f t="shared" ref="E24:E28" si="7">C24*D24</f>
        <v>4470.3999999999996</v>
      </c>
      <c r="F24" s="8">
        <f t="shared" ref="F24:F28" si="8">D24/$D$29</f>
        <v>3.9826212889210719E-2</v>
      </c>
      <c r="H24" s="6" t="s">
        <v>21</v>
      </c>
      <c r="I24" s="7">
        <v>49.44</v>
      </c>
      <c r="J24" s="10">
        <v>47</v>
      </c>
      <c r="K24" s="7">
        <f t="shared" ref="K24:K28" si="9">I24*J24</f>
        <v>2323.6799999999998</v>
      </c>
      <c r="L24" s="8">
        <f t="shared" ref="L24:L28" si="10">J24/$J$29</f>
        <v>3.4892353377876766E-2</v>
      </c>
      <c r="N24" s="6" t="s">
        <v>21</v>
      </c>
      <c r="O24" s="7">
        <v>55.62</v>
      </c>
      <c r="P24" s="10">
        <v>34</v>
      </c>
      <c r="Q24" s="7">
        <f t="shared" ref="Q24:Q28" si="11">O24*P24</f>
        <v>1891.08</v>
      </c>
      <c r="R24" s="8">
        <f t="shared" ref="R24:R28" si="12">P24/$P$29</f>
        <v>6.2157221206581355E-2</v>
      </c>
      <c r="S24" s="9"/>
      <c r="T24" s="8">
        <f t="shared" ref="T24:T28" si="13">(D24+J24+P24)/($D$29+$J$29+$P$29)</f>
        <v>4.102233676975945E-2</v>
      </c>
    </row>
    <row r="25" spans="2:20" x14ac:dyDescent="0.3">
      <c r="B25" s="6" t="s">
        <v>22</v>
      </c>
      <c r="C25" s="7">
        <v>36.53</v>
      </c>
      <c r="D25" s="6">
        <v>153</v>
      </c>
      <c r="E25" s="7">
        <f t="shared" si="7"/>
        <v>5589.09</v>
      </c>
      <c r="F25" s="8">
        <f t="shared" si="8"/>
        <v>5.5394641564083996E-2</v>
      </c>
      <c r="H25" s="6" t="s">
        <v>22</v>
      </c>
      <c r="I25" s="7">
        <v>41.16</v>
      </c>
      <c r="J25" s="6">
        <v>93</v>
      </c>
      <c r="K25" s="7">
        <f t="shared" si="9"/>
        <v>3827.8799999999997</v>
      </c>
      <c r="L25" s="8">
        <f t="shared" si="10"/>
        <v>6.9042316258351888E-2</v>
      </c>
      <c r="N25" s="6" t="s">
        <v>22</v>
      </c>
      <c r="O25" s="7">
        <v>29</v>
      </c>
      <c r="P25" s="6">
        <v>7</v>
      </c>
      <c r="Q25" s="7">
        <f t="shared" si="11"/>
        <v>203</v>
      </c>
      <c r="R25" s="8">
        <f t="shared" si="12"/>
        <v>1.2797074954296161E-2</v>
      </c>
      <c r="S25" s="9"/>
      <c r="T25" s="8">
        <f t="shared" si="13"/>
        <v>5.4338487972508592E-2</v>
      </c>
    </row>
    <row r="26" spans="2:20" x14ac:dyDescent="0.3">
      <c r="B26" s="6" t="s">
        <v>23</v>
      </c>
      <c r="C26" s="7">
        <v>37.020000000000003</v>
      </c>
      <c r="D26" s="6">
        <v>673</v>
      </c>
      <c r="E26" s="7">
        <f t="shared" si="7"/>
        <v>24914.460000000003</v>
      </c>
      <c r="F26" s="8">
        <f t="shared" si="8"/>
        <v>0.24366401158580739</v>
      </c>
      <c r="H26" s="6" t="s">
        <v>23</v>
      </c>
      <c r="I26" s="7">
        <v>38.17</v>
      </c>
      <c r="J26" s="6">
        <v>302</v>
      </c>
      <c r="K26" s="7">
        <f t="shared" si="9"/>
        <v>11527.34</v>
      </c>
      <c r="L26" s="8">
        <f t="shared" si="10"/>
        <v>0.22420193021529325</v>
      </c>
      <c r="N26" s="6" t="s">
        <v>23</v>
      </c>
      <c r="O26" s="7">
        <v>31.29</v>
      </c>
      <c r="P26" s="6">
        <v>151</v>
      </c>
      <c r="Q26" s="7">
        <f t="shared" si="11"/>
        <v>4724.79</v>
      </c>
      <c r="R26" s="8">
        <f t="shared" si="12"/>
        <v>0.27605118829981717</v>
      </c>
      <c r="S26" s="9"/>
      <c r="T26" s="8">
        <f t="shared" si="13"/>
        <v>0.24183848797250859</v>
      </c>
    </row>
    <row r="27" spans="2:20" x14ac:dyDescent="0.3">
      <c r="B27" s="6" t="s">
        <v>24</v>
      </c>
      <c r="C27" s="7">
        <v>35.270000000000003</v>
      </c>
      <c r="D27" s="6">
        <v>33</v>
      </c>
      <c r="E27" s="7">
        <f t="shared" si="7"/>
        <v>1163.9100000000001</v>
      </c>
      <c r="F27" s="8">
        <f t="shared" si="8"/>
        <v>1.1947863866763215E-2</v>
      </c>
      <c r="H27" s="6" t="s">
        <v>24</v>
      </c>
      <c r="I27" s="7">
        <v>38.590000000000003</v>
      </c>
      <c r="J27" s="6">
        <v>9</v>
      </c>
      <c r="K27" s="7">
        <f t="shared" si="9"/>
        <v>347.31000000000006</v>
      </c>
      <c r="L27" s="8">
        <f t="shared" si="10"/>
        <v>6.6815144766146995E-3</v>
      </c>
      <c r="N27" s="6" t="s">
        <v>24</v>
      </c>
      <c r="O27" s="7">
        <v>31</v>
      </c>
      <c r="P27" s="6">
        <v>8</v>
      </c>
      <c r="Q27" s="7">
        <f t="shared" si="11"/>
        <v>248</v>
      </c>
      <c r="R27" s="8">
        <f t="shared" si="12"/>
        <v>1.4625228519195612E-2</v>
      </c>
      <c r="S27" s="9"/>
      <c r="T27" s="8">
        <f t="shared" si="13"/>
        <v>1.0738831615120275E-2</v>
      </c>
    </row>
    <row r="28" spans="2:20" x14ac:dyDescent="0.3">
      <c r="B28" s="6" t="s">
        <v>25</v>
      </c>
      <c r="C28" s="7">
        <v>36.15</v>
      </c>
      <c r="D28" s="10">
        <v>434</v>
      </c>
      <c r="E28" s="7">
        <f t="shared" si="7"/>
        <v>15689.099999999999</v>
      </c>
      <c r="F28" s="8">
        <f t="shared" si="8"/>
        <v>0.15713251267197684</v>
      </c>
      <c r="H28" s="6" t="s">
        <v>25</v>
      </c>
      <c r="I28" s="7">
        <v>36.56</v>
      </c>
      <c r="J28" s="10">
        <v>207</v>
      </c>
      <c r="K28" s="7">
        <f t="shared" si="9"/>
        <v>7567.92</v>
      </c>
      <c r="L28" s="8">
        <f t="shared" si="10"/>
        <v>0.15367483296213807</v>
      </c>
      <c r="N28" s="6" t="s">
        <v>25</v>
      </c>
      <c r="O28" s="7">
        <v>31.45</v>
      </c>
      <c r="P28" s="10">
        <v>94</v>
      </c>
      <c r="Q28" s="7">
        <f t="shared" si="11"/>
        <v>2956.2999999999997</v>
      </c>
      <c r="R28" s="8">
        <f t="shared" si="12"/>
        <v>0.17184643510054845</v>
      </c>
      <c r="S28" s="9"/>
      <c r="T28" s="8">
        <f t="shared" si="13"/>
        <v>0.15786082474226804</v>
      </c>
    </row>
    <row r="29" spans="2:20" x14ac:dyDescent="0.3">
      <c r="B29" s="11" t="s">
        <v>16</v>
      </c>
      <c r="C29" s="12">
        <f>E29/D29</f>
        <v>34.248620564808114</v>
      </c>
      <c r="D29" s="13">
        <f>SUM(D23:D28)</f>
        <v>2762</v>
      </c>
      <c r="E29" s="12">
        <f>SUM(E23:E28)</f>
        <v>94594.69</v>
      </c>
      <c r="F29" s="14">
        <f>D29/(D$12+D$29)</f>
        <v>0.42874883576529027</v>
      </c>
      <c r="H29" s="11" t="s">
        <v>16</v>
      </c>
      <c r="I29" s="12">
        <f>K29/J29</f>
        <v>37.860103934669631</v>
      </c>
      <c r="J29" s="13">
        <f>SUM(J23:J28)</f>
        <v>1347</v>
      </c>
      <c r="K29" s="12">
        <f>SUM(K23:K28)</f>
        <v>50997.56</v>
      </c>
      <c r="L29" s="14">
        <f>J29/(J$12+J$29)</f>
        <v>0.52514619883040936</v>
      </c>
      <c r="N29" s="11" t="s">
        <v>16</v>
      </c>
      <c r="O29" s="12">
        <f>Q29/P29</f>
        <v>32.514095063985373</v>
      </c>
      <c r="P29" s="13">
        <f>SUM(P23:P28)</f>
        <v>547</v>
      </c>
      <c r="Q29" s="12">
        <f>SUM(Q23:Q28)</f>
        <v>17785.21</v>
      </c>
      <c r="R29" s="14">
        <f>P29/(P$12+P$29)</f>
        <v>0.46082561078348777</v>
      </c>
      <c r="S29" s="15"/>
      <c r="T29" s="14">
        <f>(D29+J29+P29)/($D$12+$J$12+$P$12+$P$29+$J$29+$D$29)</f>
        <v>0.45673925838728663</v>
      </c>
    </row>
    <row r="30" spans="2:20" x14ac:dyDescent="0.3"/>
    <row r="31" spans="2:20" x14ac:dyDescent="0.3"/>
    <row r="32" spans="2:20" x14ac:dyDescent="0.3">
      <c r="B32" s="20" t="s">
        <v>26</v>
      </c>
      <c r="C32" s="20"/>
      <c r="D32" s="20"/>
      <c r="E32" s="12">
        <f>(E29+K29+Q29)/(D29+J29+P29)</f>
        <v>35.089660652920962</v>
      </c>
    </row>
    <row r="33" spans="2:20" x14ac:dyDescent="0.3"/>
    <row r="34" spans="2:20" x14ac:dyDescent="0.3">
      <c r="B34" s="21" t="s">
        <v>28</v>
      </c>
      <c r="C34" s="21"/>
      <c r="D34" s="21"/>
      <c r="E34" s="12">
        <f>E12+K12+Q12+E29+K29+Q29</f>
        <v>344631.04000000004</v>
      </c>
      <c r="J34" s="18"/>
      <c r="P34" s="18"/>
      <c r="T34" s="18"/>
    </row>
    <row r="35" spans="2:20" ht="14.4" customHeight="1" x14ac:dyDescent="0.3">
      <c r="B35" s="21" t="s">
        <v>29</v>
      </c>
      <c r="C35" s="21"/>
      <c r="D35" s="21"/>
      <c r="E35" s="13">
        <f>D12+J12+P12+P29+J29+D29</f>
        <v>10194</v>
      </c>
    </row>
    <row r="36" spans="2:20" ht="14.4" customHeight="1" x14ac:dyDescent="0.3">
      <c r="B36" s="21" t="s">
        <v>17</v>
      </c>
      <c r="C36" s="21"/>
      <c r="D36" s="21"/>
      <c r="E36" s="12">
        <f>E34/E35</f>
        <v>33.807243476554838</v>
      </c>
    </row>
  </sheetData>
  <mergeCells count="13">
    <mergeCell ref="B34:D34"/>
    <mergeCell ref="B35:D35"/>
    <mergeCell ref="B36:D36"/>
    <mergeCell ref="B19:R19"/>
    <mergeCell ref="B21:F21"/>
    <mergeCell ref="H21:L21"/>
    <mergeCell ref="N21:R21"/>
    <mergeCell ref="B32:D32"/>
    <mergeCell ref="B2:R2"/>
    <mergeCell ref="B4:F4"/>
    <mergeCell ref="H4:L4"/>
    <mergeCell ref="N4:R4"/>
    <mergeCell ref="B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6"/>
  <sheetViews>
    <sheetView showGridLines="0" topLeftCell="A12" zoomScaleNormal="100" workbookViewId="0">
      <selection activeCell="B34" sqref="B34:E36"/>
    </sheetView>
  </sheetViews>
  <sheetFormatPr baseColWidth="10" defaultColWidth="8.88671875" defaultRowHeight="14.4" x14ac:dyDescent="0.3"/>
  <cols>
    <col min="2" max="2" width="28.21875" customWidth="1"/>
    <col min="3" max="3" width="9.44140625" customWidth="1"/>
    <col min="4" max="4" width="7.21875" customWidth="1"/>
    <col min="5" max="5" width="12.21875" customWidth="1"/>
    <col min="6" max="6" width="6.109375" customWidth="1"/>
    <col min="7" max="7" width="5.77734375" customWidth="1"/>
    <col min="8" max="8" width="28.21875" customWidth="1"/>
    <col min="9" max="9" width="9.44140625" customWidth="1"/>
    <col min="10" max="10" width="11.44140625" customWidth="1"/>
    <col min="11" max="11" width="12.21875" customWidth="1"/>
    <col min="12" max="12" width="6.109375" customWidth="1"/>
    <col min="13" max="13" width="5.77734375" customWidth="1"/>
    <col min="14" max="14" width="28.21875" customWidth="1"/>
    <col min="15" max="15" width="9.44140625" customWidth="1"/>
    <col min="16" max="16" width="11.44140625" customWidth="1"/>
    <col min="17" max="17" width="11.21875" customWidth="1"/>
    <col min="18" max="19" width="6.109375" customWidth="1"/>
    <col min="20" max="20" width="7.109375" customWidth="1"/>
  </cols>
  <sheetData>
    <row r="1" spans="1:30" x14ac:dyDescent="0.3">
      <c r="F1" s="1"/>
    </row>
    <row r="2" spans="1:30" x14ac:dyDescent="0.3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30" x14ac:dyDescent="0.3">
      <c r="F3" s="1"/>
    </row>
    <row r="4" spans="1:30" x14ac:dyDescent="0.3">
      <c r="B4" s="19" t="s">
        <v>1</v>
      </c>
      <c r="C4" s="19"/>
      <c r="D4" s="19"/>
      <c r="E4" s="19"/>
      <c r="F4" s="19"/>
      <c r="H4" s="19" t="s">
        <v>2</v>
      </c>
      <c r="I4" s="19"/>
      <c r="J4" s="19"/>
      <c r="K4" s="19"/>
      <c r="L4" s="19"/>
      <c r="N4" s="19" t="s">
        <v>3</v>
      </c>
      <c r="O4" s="19"/>
      <c r="P4" s="19"/>
      <c r="Q4" s="19"/>
      <c r="R4" s="19"/>
      <c r="S4" s="2"/>
    </row>
    <row r="5" spans="1:30" ht="28.8" customHeight="1" x14ac:dyDescent="0.3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3"/>
      <c r="H5" s="4" t="s">
        <v>4</v>
      </c>
      <c r="I5" s="4" t="s">
        <v>5</v>
      </c>
      <c r="J5" s="4" t="s">
        <v>6</v>
      </c>
      <c r="K5" s="4" t="s">
        <v>7</v>
      </c>
      <c r="L5" s="4" t="s">
        <v>8</v>
      </c>
      <c r="M5" s="3"/>
      <c r="N5" s="4" t="s">
        <v>4</v>
      </c>
      <c r="O5" s="4" t="s">
        <v>5</v>
      </c>
      <c r="P5" s="4" t="s">
        <v>6</v>
      </c>
      <c r="Q5" s="4" t="s">
        <v>7</v>
      </c>
      <c r="R5" s="4" t="s">
        <v>8</v>
      </c>
      <c r="S5" s="5"/>
      <c r="T5" s="4" t="s">
        <v>9</v>
      </c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B6" s="6" t="s">
        <v>10</v>
      </c>
      <c r="C6" s="7">
        <v>0</v>
      </c>
      <c r="D6" s="6">
        <v>0</v>
      </c>
      <c r="E6" s="7">
        <f t="shared" ref="E6:E11" si="0">C6*D6</f>
        <v>0</v>
      </c>
      <c r="F6" s="8">
        <f t="shared" ref="F6:F11" si="1">D6/$D$12</f>
        <v>0</v>
      </c>
      <c r="H6" s="6" t="s">
        <v>10</v>
      </c>
      <c r="I6" s="7">
        <v>28</v>
      </c>
      <c r="J6" s="6">
        <v>1</v>
      </c>
      <c r="K6" s="7">
        <f t="shared" ref="K6:K11" si="2">I6*J6</f>
        <v>28</v>
      </c>
      <c r="L6" s="8">
        <f t="shared" ref="L6:L11" si="3">J6/$J$12</f>
        <v>6.5573770491803279E-4</v>
      </c>
      <c r="N6" s="6" t="s">
        <v>10</v>
      </c>
      <c r="O6" s="7">
        <v>27.67</v>
      </c>
      <c r="P6" s="6">
        <v>4</v>
      </c>
      <c r="Q6" s="7">
        <f t="shared" ref="Q6:Q11" si="4">O6*P6</f>
        <v>110.68</v>
      </c>
      <c r="R6" s="8">
        <f t="shared" ref="R6:R11" si="5">P6/$P$12</f>
        <v>4.9937578027465668E-3</v>
      </c>
      <c r="S6" s="9"/>
      <c r="T6" s="8">
        <f t="shared" ref="T6:T11" si="6">(D6+J6+P6)/($D$12+$J$12+$P$12)</f>
        <v>7.2129255626081942E-4</v>
      </c>
    </row>
    <row r="7" spans="1:30" x14ac:dyDescent="0.3">
      <c r="B7" s="6" t="s">
        <v>11</v>
      </c>
      <c r="C7" s="7">
        <v>27.47</v>
      </c>
      <c r="D7" s="10">
        <v>1969</v>
      </c>
      <c r="E7" s="7">
        <f t="shared" si="0"/>
        <v>54088.43</v>
      </c>
      <c r="F7" s="8">
        <f t="shared" si="1"/>
        <v>0.42748588797221015</v>
      </c>
      <c r="H7" s="6" t="s">
        <v>11</v>
      </c>
      <c r="I7" s="7">
        <v>28.43</v>
      </c>
      <c r="J7" s="10">
        <v>838</v>
      </c>
      <c r="K7" s="7">
        <f t="shared" si="2"/>
        <v>23824.34</v>
      </c>
      <c r="L7" s="8">
        <f t="shared" si="3"/>
        <v>0.54950819672131146</v>
      </c>
      <c r="N7" s="6" t="s">
        <v>11</v>
      </c>
      <c r="O7" s="7">
        <v>31.96</v>
      </c>
      <c r="P7" s="10">
        <v>669</v>
      </c>
      <c r="Q7" s="7">
        <f t="shared" si="4"/>
        <v>21381.24</v>
      </c>
      <c r="R7" s="8">
        <f t="shared" si="5"/>
        <v>0.83520599250936334</v>
      </c>
      <c r="S7" s="9"/>
      <c r="T7" s="8">
        <f t="shared" si="6"/>
        <v>0.5014425851125216</v>
      </c>
    </row>
    <row r="8" spans="1:30" x14ac:dyDescent="0.3">
      <c r="B8" s="6" t="s">
        <v>12</v>
      </c>
      <c r="C8" s="7">
        <v>34.46</v>
      </c>
      <c r="D8" s="6">
        <v>35</v>
      </c>
      <c r="E8" s="7">
        <f t="shared" si="0"/>
        <v>1206.1000000000001</v>
      </c>
      <c r="F8" s="8">
        <f t="shared" si="1"/>
        <v>7.5987841945288756E-3</v>
      </c>
      <c r="H8" s="6" t="s">
        <v>12</v>
      </c>
      <c r="I8" s="7">
        <v>38.33</v>
      </c>
      <c r="J8" s="6">
        <v>8</v>
      </c>
      <c r="K8" s="7">
        <f t="shared" si="2"/>
        <v>306.64</v>
      </c>
      <c r="L8" s="8">
        <f t="shared" si="3"/>
        <v>5.2459016393442623E-3</v>
      </c>
      <c r="N8" s="6" t="s">
        <v>12</v>
      </c>
      <c r="O8" s="7">
        <v>0</v>
      </c>
      <c r="P8" s="6">
        <v>0</v>
      </c>
      <c r="Q8" s="7">
        <f t="shared" si="4"/>
        <v>0</v>
      </c>
      <c r="R8" s="8">
        <f t="shared" si="5"/>
        <v>0</v>
      </c>
      <c r="S8" s="9"/>
      <c r="T8" s="8">
        <f t="shared" si="6"/>
        <v>6.2031159838430465E-3</v>
      </c>
    </row>
    <row r="9" spans="1:30" x14ac:dyDescent="0.3">
      <c r="B9" s="6" t="s">
        <v>13</v>
      </c>
      <c r="C9" s="7">
        <v>0</v>
      </c>
      <c r="D9" s="6">
        <v>0</v>
      </c>
      <c r="E9" s="7">
        <f t="shared" si="0"/>
        <v>0</v>
      </c>
      <c r="F9" s="8">
        <f t="shared" si="1"/>
        <v>0</v>
      </c>
      <c r="H9" s="6" t="s">
        <v>13</v>
      </c>
      <c r="I9" s="7">
        <v>0</v>
      </c>
      <c r="J9" s="6">
        <v>0</v>
      </c>
      <c r="K9" s="7">
        <f t="shared" si="2"/>
        <v>0</v>
      </c>
      <c r="L9" s="8">
        <f t="shared" si="3"/>
        <v>0</v>
      </c>
      <c r="N9" s="6" t="s">
        <v>13</v>
      </c>
      <c r="O9" s="7">
        <v>0</v>
      </c>
      <c r="P9" s="6">
        <v>0</v>
      </c>
      <c r="Q9" s="7">
        <f t="shared" si="4"/>
        <v>0</v>
      </c>
      <c r="R9" s="8">
        <f t="shared" si="5"/>
        <v>0</v>
      </c>
      <c r="S9" s="9"/>
      <c r="T9" s="8">
        <f t="shared" si="6"/>
        <v>0</v>
      </c>
    </row>
    <row r="10" spans="1:30" x14ac:dyDescent="0.3">
      <c r="B10" s="6" t="s">
        <v>14</v>
      </c>
      <c r="C10" s="7">
        <v>38.07</v>
      </c>
      <c r="D10" s="6">
        <v>1170</v>
      </c>
      <c r="E10" s="7">
        <f t="shared" si="0"/>
        <v>44541.9</v>
      </c>
      <c r="F10" s="8">
        <f t="shared" si="1"/>
        <v>0.25401650021710814</v>
      </c>
      <c r="H10" s="6" t="s">
        <v>14</v>
      </c>
      <c r="I10" s="7">
        <v>42.08</v>
      </c>
      <c r="J10" s="6">
        <v>438</v>
      </c>
      <c r="K10" s="7">
        <f t="shared" si="2"/>
        <v>18431.04</v>
      </c>
      <c r="L10" s="8">
        <f t="shared" si="3"/>
        <v>0.28721311475409839</v>
      </c>
      <c r="N10" s="6" t="s">
        <v>14</v>
      </c>
      <c r="O10" s="7">
        <v>58.32</v>
      </c>
      <c r="P10" s="6">
        <v>39</v>
      </c>
      <c r="Q10" s="7">
        <f t="shared" si="4"/>
        <v>2274.48</v>
      </c>
      <c r="R10" s="8">
        <f t="shared" si="5"/>
        <v>4.8689138576779027E-2</v>
      </c>
      <c r="S10" s="9"/>
      <c r="T10" s="8">
        <f t="shared" si="6"/>
        <v>0.23759376803231391</v>
      </c>
    </row>
    <row r="11" spans="1:30" x14ac:dyDescent="0.3">
      <c r="B11" s="6" t="s">
        <v>15</v>
      </c>
      <c r="C11" s="7">
        <v>33.700000000000003</v>
      </c>
      <c r="D11" s="10">
        <v>1432</v>
      </c>
      <c r="E11" s="7">
        <f t="shared" si="0"/>
        <v>48258.400000000001</v>
      </c>
      <c r="F11" s="8">
        <f t="shared" si="1"/>
        <v>0.31089882761615284</v>
      </c>
      <c r="H11" s="6" t="s">
        <v>15</v>
      </c>
      <c r="I11" s="7">
        <v>39.29</v>
      </c>
      <c r="J11" s="10">
        <v>240</v>
      </c>
      <c r="K11" s="7">
        <f t="shared" si="2"/>
        <v>9429.6</v>
      </c>
      <c r="L11" s="8">
        <f t="shared" si="3"/>
        <v>0.15737704918032788</v>
      </c>
      <c r="N11" s="6" t="s">
        <v>15</v>
      </c>
      <c r="O11" s="7">
        <v>33.68</v>
      </c>
      <c r="P11" s="10">
        <v>89</v>
      </c>
      <c r="Q11" s="7">
        <f t="shared" si="4"/>
        <v>2997.52</v>
      </c>
      <c r="R11" s="8">
        <f t="shared" si="5"/>
        <v>0.1111111111111111</v>
      </c>
      <c r="S11" s="9"/>
      <c r="T11" s="8">
        <f t="shared" si="6"/>
        <v>0.25403923831506059</v>
      </c>
    </row>
    <row r="12" spans="1:30" x14ac:dyDescent="0.3">
      <c r="B12" s="11" t="s">
        <v>16</v>
      </c>
      <c r="C12" s="12">
        <f>E12/D12</f>
        <v>32.152590099869734</v>
      </c>
      <c r="D12" s="13">
        <f>SUM(D6:D11)</f>
        <v>4606</v>
      </c>
      <c r="E12" s="12">
        <f>SUM(E6:E11)</f>
        <v>148094.82999999999</v>
      </c>
      <c r="F12" s="14">
        <f>D12/(D$12+D$29)</f>
        <v>0.70417367375019113</v>
      </c>
      <c r="H12" s="11" t="s">
        <v>16</v>
      </c>
      <c r="I12" s="12">
        <f>K12/J12</f>
        <v>34.111226229508198</v>
      </c>
      <c r="J12" s="13">
        <f>SUM(J6:J11)</f>
        <v>1525</v>
      </c>
      <c r="K12" s="12">
        <f>SUM(K6:K11)</f>
        <v>52019.62</v>
      </c>
      <c r="L12" s="14">
        <f>J12/(J$12+J$29)</f>
        <v>0.6176589712434184</v>
      </c>
      <c r="N12" s="11" t="s">
        <v>16</v>
      </c>
      <c r="O12" s="12">
        <f>Q12/P12</f>
        <v>33.413133583021228</v>
      </c>
      <c r="P12" s="13">
        <f>SUM(P6:P11)</f>
        <v>801</v>
      </c>
      <c r="Q12" s="12">
        <f>SUM(Q6:Q11)</f>
        <v>26763.920000000002</v>
      </c>
      <c r="R12" s="14">
        <f>P12/(P$12+P$29)</f>
        <v>0.67652027027027029</v>
      </c>
      <c r="S12" s="15"/>
      <c r="T12" s="14">
        <f>(D12+J12+P12)/($D$12+$J$12+$P$12+$P$29+$J$29+$D$29)</f>
        <v>0.68000784775358059</v>
      </c>
    </row>
    <row r="13" spans="1:30" x14ac:dyDescent="0.3">
      <c r="F13" s="1"/>
    </row>
    <row r="14" spans="1:30" x14ac:dyDescent="0.3">
      <c r="F14" s="1"/>
    </row>
    <row r="15" spans="1:30" x14ac:dyDescent="0.3">
      <c r="B15" s="20" t="s">
        <v>27</v>
      </c>
      <c r="C15" s="20"/>
      <c r="D15" s="20"/>
      <c r="E15" s="12">
        <f>(E12+K12+Q12)/(D12+J12+P12)</f>
        <v>32.7291358915176</v>
      </c>
      <c r="F15" s="1"/>
    </row>
    <row r="16" spans="1:30" x14ac:dyDescent="0.3">
      <c r="B16" s="16"/>
      <c r="C16" s="16"/>
      <c r="D16" s="16"/>
      <c r="E16" s="17"/>
      <c r="F16" s="1"/>
    </row>
    <row r="17" spans="2:20" x14ac:dyDescent="0.3">
      <c r="B17" s="16"/>
      <c r="C17" s="16"/>
      <c r="D17" s="16"/>
      <c r="E17" s="17"/>
      <c r="F17" s="1"/>
    </row>
    <row r="18" spans="2:20" x14ac:dyDescent="0.3">
      <c r="F18" s="1"/>
    </row>
    <row r="19" spans="2:20" x14ac:dyDescent="0.3">
      <c r="B19" s="19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2:20" x14ac:dyDescent="0.3">
      <c r="F20" s="1"/>
    </row>
    <row r="21" spans="2:20" x14ac:dyDescent="0.3">
      <c r="B21" s="19" t="s">
        <v>1</v>
      </c>
      <c r="C21" s="19"/>
      <c r="D21" s="19"/>
      <c r="E21" s="19"/>
      <c r="F21" s="19"/>
      <c r="H21" s="19" t="s">
        <v>2</v>
      </c>
      <c r="I21" s="19"/>
      <c r="J21" s="19"/>
      <c r="K21" s="19"/>
      <c r="L21" s="19"/>
      <c r="N21" s="19" t="s">
        <v>3</v>
      </c>
      <c r="O21" s="19"/>
      <c r="P21" s="19"/>
      <c r="Q21" s="19"/>
      <c r="R21" s="19"/>
      <c r="S21" s="2"/>
    </row>
    <row r="22" spans="2:20" ht="28.8" customHeight="1" x14ac:dyDescent="0.3"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3"/>
      <c r="H22" s="4" t="s">
        <v>4</v>
      </c>
      <c r="I22" s="4" t="s">
        <v>5</v>
      </c>
      <c r="J22" s="4" t="s">
        <v>6</v>
      </c>
      <c r="K22" s="4" t="s">
        <v>7</v>
      </c>
      <c r="L22" s="4" t="s">
        <v>8</v>
      </c>
      <c r="M22" s="3"/>
      <c r="N22" s="4" t="s">
        <v>4</v>
      </c>
      <c r="O22" s="4" t="s">
        <v>5</v>
      </c>
      <c r="P22" s="4" t="s">
        <v>6</v>
      </c>
      <c r="Q22" s="4" t="s">
        <v>7</v>
      </c>
      <c r="R22" s="4" t="s">
        <v>8</v>
      </c>
      <c r="S22" s="5"/>
      <c r="T22" s="4" t="s">
        <v>19</v>
      </c>
    </row>
    <row r="23" spans="2:20" x14ac:dyDescent="0.3">
      <c r="B23" s="6" t="s">
        <v>20</v>
      </c>
      <c r="C23" s="7">
        <v>31.47</v>
      </c>
      <c r="D23" s="10">
        <v>952</v>
      </c>
      <c r="E23" s="7">
        <f t="shared" ref="E23:E28" si="7">C23*D23</f>
        <v>29959.439999999999</v>
      </c>
      <c r="F23" s="8">
        <f t="shared" ref="F23:F28" si="8">D23/$D$29</f>
        <v>0.49198966408268735</v>
      </c>
      <c r="H23" s="6" t="s">
        <v>20</v>
      </c>
      <c r="I23" s="7">
        <v>36.869999999999997</v>
      </c>
      <c r="J23" s="6">
        <v>483</v>
      </c>
      <c r="K23" s="7">
        <f t="shared" ref="K23:K28" si="9">I23*J23</f>
        <v>17808.21</v>
      </c>
      <c r="L23" s="8">
        <f t="shared" ref="L23:L28" si="10">J23/$J$29</f>
        <v>0.51165254237288138</v>
      </c>
      <c r="N23" s="6" t="s">
        <v>20</v>
      </c>
      <c r="O23" s="7">
        <v>30.68</v>
      </c>
      <c r="P23" s="6">
        <v>176</v>
      </c>
      <c r="Q23" s="7">
        <f t="shared" ref="Q23:Q28" si="11">O23*P23</f>
        <v>5399.68</v>
      </c>
      <c r="R23" s="8">
        <f t="shared" ref="R23:R28" si="12">P23/$P$29</f>
        <v>0.45953002610966059</v>
      </c>
      <c r="S23" s="9"/>
      <c r="T23" s="8">
        <f t="shared" ref="T23:T28" si="13">(D23+J23+P23)/($D$29+$J$29+$P$29)</f>
        <v>0.49386879215205398</v>
      </c>
    </row>
    <row r="24" spans="2:20" x14ac:dyDescent="0.3">
      <c r="B24" s="6" t="s">
        <v>21</v>
      </c>
      <c r="C24" s="7">
        <v>40.64</v>
      </c>
      <c r="D24" s="10">
        <v>77</v>
      </c>
      <c r="E24" s="7">
        <f t="shared" si="7"/>
        <v>3129.28</v>
      </c>
      <c r="F24" s="8">
        <f t="shared" si="8"/>
        <v>3.9793281653746772E-2</v>
      </c>
      <c r="H24" s="6" t="s">
        <v>21</v>
      </c>
      <c r="I24" s="7">
        <v>49.44</v>
      </c>
      <c r="J24" s="10">
        <v>33</v>
      </c>
      <c r="K24" s="7">
        <f t="shared" si="9"/>
        <v>1631.52</v>
      </c>
      <c r="L24" s="8">
        <f t="shared" si="10"/>
        <v>3.4957627118644065E-2</v>
      </c>
      <c r="N24" s="6" t="s">
        <v>21</v>
      </c>
      <c r="O24" s="7">
        <v>55.62</v>
      </c>
      <c r="P24" s="10">
        <v>24</v>
      </c>
      <c r="Q24" s="7">
        <f t="shared" si="11"/>
        <v>1334.8799999999999</v>
      </c>
      <c r="R24" s="8">
        <f t="shared" si="12"/>
        <v>6.2663185378590072E-2</v>
      </c>
      <c r="S24" s="9"/>
      <c r="T24" s="8">
        <f t="shared" si="13"/>
        <v>4.1079092581238506E-2</v>
      </c>
    </row>
    <row r="25" spans="2:20" x14ac:dyDescent="0.3">
      <c r="B25" s="6" t="s">
        <v>22</v>
      </c>
      <c r="C25" s="7">
        <v>36.53</v>
      </c>
      <c r="D25" s="6">
        <v>107</v>
      </c>
      <c r="E25" s="7">
        <f t="shared" si="7"/>
        <v>3908.71</v>
      </c>
      <c r="F25" s="8">
        <f t="shared" si="8"/>
        <v>5.529715762273902E-2</v>
      </c>
      <c r="H25" s="6" t="s">
        <v>22</v>
      </c>
      <c r="I25" s="7">
        <v>41.16</v>
      </c>
      <c r="J25" s="6">
        <v>65</v>
      </c>
      <c r="K25" s="7">
        <f t="shared" si="9"/>
        <v>2675.3999999999996</v>
      </c>
      <c r="L25" s="8">
        <f t="shared" si="10"/>
        <v>6.8855932203389827E-2</v>
      </c>
      <c r="N25" s="6" t="s">
        <v>22</v>
      </c>
      <c r="O25" s="7">
        <v>29</v>
      </c>
      <c r="P25" s="6">
        <v>5</v>
      </c>
      <c r="Q25" s="7">
        <f t="shared" si="11"/>
        <v>145</v>
      </c>
      <c r="R25" s="8">
        <f t="shared" si="12"/>
        <v>1.3054830287206266E-2</v>
      </c>
      <c r="S25" s="9"/>
      <c r="T25" s="8">
        <f t="shared" si="13"/>
        <v>5.4261189454322505E-2</v>
      </c>
    </row>
    <row r="26" spans="2:20" x14ac:dyDescent="0.3">
      <c r="B26" s="6" t="s">
        <v>23</v>
      </c>
      <c r="C26" s="7">
        <v>37.020000000000003</v>
      </c>
      <c r="D26" s="6">
        <v>472</v>
      </c>
      <c r="E26" s="7">
        <f t="shared" si="7"/>
        <v>17473.440000000002</v>
      </c>
      <c r="F26" s="8">
        <f t="shared" si="8"/>
        <v>0.24392764857881136</v>
      </c>
      <c r="H26" s="6" t="s">
        <v>23</v>
      </c>
      <c r="I26" s="7">
        <v>38.17</v>
      </c>
      <c r="J26" s="6">
        <v>212</v>
      </c>
      <c r="K26" s="7">
        <f t="shared" si="9"/>
        <v>8092.04</v>
      </c>
      <c r="L26" s="8">
        <f t="shared" si="10"/>
        <v>0.22457627118644069</v>
      </c>
      <c r="N26" s="6" t="s">
        <v>23</v>
      </c>
      <c r="O26" s="7">
        <v>31.29</v>
      </c>
      <c r="P26" s="6">
        <v>106</v>
      </c>
      <c r="Q26" s="7">
        <f t="shared" si="11"/>
        <v>3316.74</v>
      </c>
      <c r="R26" s="8">
        <f t="shared" si="12"/>
        <v>0.27676240208877284</v>
      </c>
      <c r="S26" s="9"/>
      <c r="T26" s="8">
        <f t="shared" si="13"/>
        <v>0.24218270999386879</v>
      </c>
    </row>
    <row r="27" spans="2:20" x14ac:dyDescent="0.3">
      <c r="B27" s="6" t="s">
        <v>24</v>
      </c>
      <c r="C27" s="7">
        <v>35.270000000000003</v>
      </c>
      <c r="D27" s="6">
        <v>23</v>
      </c>
      <c r="E27" s="7">
        <f t="shared" si="7"/>
        <v>811.21</v>
      </c>
      <c r="F27" s="8">
        <f t="shared" si="8"/>
        <v>1.1886304909560724E-2</v>
      </c>
      <c r="H27" s="6" t="s">
        <v>24</v>
      </c>
      <c r="I27" s="7">
        <v>38.590000000000003</v>
      </c>
      <c r="J27" s="6">
        <v>6</v>
      </c>
      <c r="K27" s="7">
        <f t="shared" si="9"/>
        <v>231.54000000000002</v>
      </c>
      <c r="L27" s="8">
        <f t="shared" si="10"/>
        <v>6.3559322033898309E-3</v>
      </c>
      <c r="N27" s="6" t="s">
        <v>24</v>
      </c>
      <c r="O27" s="7">
        <v>31</v>
      </c>
      <c r="P27" s="6">
        <v>6</v>
      </c>
      <c r="Q27" s="7">
        <f t="shared" si="11"/>
        <v>186</v>
      </c>
      <c r="R27" s="8">
        <f t="shared" si="12"/>
        <v>1.5665796344647518E-2</v>
      </c>
      <c r="S27" s="9"/>
      <c r="T27" s="8">
        <f t="shared" si="13"/>
        <v>1.0729613733905579E-2</v>
      </c>
    </row>
    <row r="28" spans="2:20" x14ac:dyDescent="0.3">
      <c r="B28" s="6" t="s">
        <v>25</v>
      </c>
      <c r="C28" s="7">
        <v>36.15</v>
      </c>
      <c r="D28" s="10">
        <v>304</v>
      </c>
      <c r="E28" s="7">
        <f t="shared" si="7"/>
        <v>10989.6</v>
      </c>
      <c r="F28" s="8">
        <f t="shared" si="8"/>
        <v>0.15710594315245477</v>
      </c>
      <c r="H28" s="6" t="s">
        <v>25</v>
      </c>
      <c r="I28" s="7">
        <v>36.56</v>
      </c>
      <c r="J28" s="10">
        <v>145</v>
      </c>
      <c r="K28" s="7">
        <f t="shared" si="9"/>
        <v>5301.2000000000007</v>
      </c>
      <c r="L28" s="8">
        <f t="shared" si="10"/>
        <v>0.15360169491525424</v>
      </c>
      <c r="N28" s="6" t="s">
        <v>25</v>
      </c>
      <c r="O28" s="7">
        <v>31.45</v>
      </c>
      <c r="P28" s="10">
        <v>66</v>
      </c>
      <c r="Q28" s="7">
        <f t="shared" si="11"/>
        <v>2075.6999999999998</v>
      </c>
      <c r="R28" s="8">
        <f t="shared" si="12"/>
        <v>0.17232375979112272</v>
      </c>
      <c r="S28" s="9"/>
      <c r="T28" s="8">
        <f t="shared" si="13"/>
        <v>0.15787860208461066</v>
      </c>
    </row>
    <row r="29" spans="2:20" x14ac:dyDescent="0.3">
      <c r="B29" s="11" t="s">
        <v>16</v>
      </c>
      <c r="C29" s="12">
        <f>E29/D29</f>
        <v>34.248930232558145</v>
      </c>
      <c r="D29" s="13">
        <f>SUM(D23:D28)</f>
        <v>1935</v>
      </c>
      <c r="E29" s="12">
        <f>SUM(E23:E28)</f>
        <v>66271.680000000008</v>
      </c>
      <c r="F29" s="14">
        <f>D29/(D$12+D$29)</f>
        <v>0.29582632624980892</v>
      </c>
      <c r="H29" s="11" t="s">
        <v>16</v>
      </c>
      <c r="I29" s="12">
        <f>K29/J29</f>
        <v>37.860074152542374</v>
      </c>
      <c r="J29" s="13">
        <f>SUM(J23:J28)</f>
        <v>944</v>
      </c>
      <c r="K29" s="12">
        <f>SUM(K23:K28)</f>
        <v>35739.910000000003</v>
      </c>
      <c r="L29" s="14">
        <f>J29/(J$12+J$29)</f>
        <v>0.3823410287565816</v>
      </c>
      <c r="N29" s="11" t="s">
        <v>16</v>
      </c>
      <c r="O29" s="12">
        <f>Q29/P29</f>
        <v>32.527415143603136</v>
      </c>
      <c r="P29" s="13">
        <f>SUM(P23:P28)</f>
        <v>383</v>
      </c>
      <c r="Q29" s="12">
        <f>SUM(Q23:Q28)</f>
        <v>12458</v>
      </c>
      <c r="R29" s="14">
        <f>P29/(P$12+P$29)</f>
        <v>0.32347972972972971</v>
      </c>
      <c r="S29" s="15"/>
      <c r="T29" s="14">
        <f>(D29+J29+P29)/($D$12+$J$12+$P$12+$P$29+$J$29+$D$29)</f>
        <v>0.31999215224641947</v>
      </c>
    </row>
    <row r="30" spans="2:20" x14ac:dyDescent="0.3">
      <c r="F30" s="1"/>
    </row>
    <row r="31" spans="2:20" x14ac:dyDescent="0.3">
      <c r="F31" s="1"/>
    </row>
    <row r="32" spans="2:20" x14ac:dyDescent="0.3">
      <c r="B32" s="20" t="s">
        <v>26</v>
      </c>
      <c r="C32" s="20"/>
      <c r="D32" s="20"/>
      <c r="E32" s="12">
        <f>(E29+K29+Q29)/(D29+J29+P29)</f>
        <v>35.091842427958312</v>
      </c>
      <c r="F32" s="1"/>
    </row>
    <row r="33" spans="2:20" x14ac:dyDescent="0.3">
      <c r="F33" s="1"/>
    </row>
    <row r="34" spans="2:20" x14ac:dyDescent="0.3">
      <c r="B34" s="21" t="s">
        <v>28</v>
      </c>
      <c r="C34" s="21"/>
      <c r="D34" s="21"/>
      <c r="E34" s="12">
        <f>E12+K12+Q12+E29+K29+Q29</f>
        <v>341347.95999999996</v>
      </c>
      <c r="F34" s="1"/>
      <c r="J34" s="18"/>
      <c r="P34" s="18"/>
      <c r="T34" s="18"/>
    </row>
    <row r="35" spans="2:20" x14ac:dyDescent="0.3">
      <c r="B35" s="21" t="s">
        <v>29</v>
      </c>
      <c r="C35" s="21"/>
      <c r="D35" s="21"/>
      <c r="E35" s="13">
        <f>D12+J12+P12+P29+J29+D29</f>
        <v>10194</v>
      </c>
    </row>
    <row r="36" spans="2:20" x14ac:dyDescent="0.3">
      <c r="B36" s="21" t="s">
        <v>17</v>
      </c>
      <c r="C36" s="21"/>
      <c r="D36" s="21"/>
      <c r="E36" s="12">
        <f>E34/E35</f>
        <v>33.48518344123994</v>
      </c>
    </row>
  </sheetData>
  <mergeCells count="13">
    <mergeCell ref="B34:D34"/>
    <mergeCell ref="B35:D35"/>
    <mergeCell ref="B36:D36"/>
    <mergeCell ref="B19:R19"/>
    <mergeCell ref="B21:F21"/>
    <mergeCell ref="H21:L21"/>
    <mergeCell ref="N21:R21"/>
    <mergeCell ref="B32:D32"/>
    <mergeCell ref="B2:R2"/>
    <mergeCell ref="B4:F4"/>
    <mergeCell ref="H4:L4"/>
    <mergeCell ref="N4:R4"/>
    <mergeCell ref="B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tabSelected="1" topLeftCell="A12" zoomScaleNormal="100" workbookViewId="0">
      <selection activeCell="B34" sqref="B34:D34"/>
    </sheetView>
  </sheetViews>
  <sheetFormatPr baseColWidth="10" defaultColWidth="8.88671875" defaultRowHeight="14.4" x14ac:dyDescent="0.3"/>
  <cols>
    <col min="2" max="2" width="28.21875" customWidth="1"/>
    <col min="3" max="3" width="9.44140625" customWidth="1"/>
    <col min="4" max="4" width="7.21875" customWidth="1"/>
    <col min="5" max="5" width="12.21875" customWidth="1"/>
    <col min="6" max="6" width="6.109375" customWidth="1"/>
    <col min="7" max="7" width="5.77734375" customWidth="1"/>
    <col min="8" max="8" width="28.21875" customWidth="1"/>
    <col min="9" max="9" width="9.44140625" customWidth="1"/>
    <col min="10" max="10" width="11.44140625" customWidth="1"/>
    <col min="11" max="11" width="12.21875" customWidth="1"/>
    <col min="12" max="12" width="6.109375" customWidth="1"/>
    <col min="13" max="13" width="5.77734375" customWidth="1"/>
    <col min="14" max="14" width="28.21875" customWidth="1"/>
    <col min="15" max="15" width="9.44140625" customWidth="1"/>
    <col min="16" max="16" width="11.44140625" customWidth="1"/>
    <col min="17" max="17" width="11.21875" customWidth="1"/>
    <col min="18" max="19" width="6.109375" customWidth="1"/>
    <col min="20" max="20" width="7.109375" customWidth="1"/>
  </cols>
  <sheetData>
    <row r="1" spans="1:30" x14ac:dyDescent="0.3">
      <c r="F1" s="1"/>
    </row>
    <row r="2" spans="1:30" x14ac:dyDescent="0.3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30" x14ac:dyDescent="0.3">
      <c r="F3" s="1"/>
    </row>
    <row r="4" spans="1:30" x14ac:dyDescent="0.3">
      <c r="B4" s="19" t="s">
        <v>1</v>
      </c>
      <c r="C4" s="19"/>
      <c r="D4" s="19"/>
      <c r="E4" s="19"/>
      <c r="F4" s="19"/>
      <c r="H4" s="19" t="s">
        <v>2</v>
      </c>
      <c r="I4" s="19"/>
      <c r="J4" s="19"/>
      <c r="K4" s="19"/>
      <c r="L4" s="19"/>
      <c r="N4" s="19" t="s">
        <v>3</v>
      </c>
      <c r="O4" s="19"/>
      <c r="P4" s="19"/>
      <c r="Q4" s="19"/>
      <c r="R4" s="19"/>
      <c r="S4" s="2"/>
    </row>
    <row r="5" spans="1:30" ht="28.8" customHeight="1" x14ac:dyDescent="0.3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3"/>
      <c r="H5" s="4" t="s">
        <v>4</v>
      </c>
      <c r="I5" s="4" t="s">
        <v>5</v>
      </c>
      <c r="J5" s="4" t="s">
        <v>6</v>
      </c>
      <c r="K5" s="4" t="s">
        <v>7</v>
      </c>
      <c r="L5" s="4" t="s">
        <v>8</v>
      </c>
      <c r="M5" s="3"/>
      <c r="N5" s="4" t="s">
        <v>4</v>
      </c>
      <c r="O5" s="4" t="s">
        <v>5</v>
      </c>
      <c r="P5" s="4" t="s">
        <v>6</v>
      </c>
      <c r="Q5" s="4" t="s">
        <v>7</v>
      </c>
      <c r="R5" s="4" t="s">
        <v>8</v>
      </c>
      <c r="S5" s="5"/>
      <c r="T5" s="4" t="s">
        <v>9</v>
      </c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B6" s="6" t="s">
        <v>10</v>
      </c>
      <c r="C6" s="7">
        <v>0</v>
      </c>
      <c r="D6" s="6">
        <v>0</v>
      </c>
      <c r="E6" s="7">
        <f t="shared" ref="E6:E11" si="0">C6*D6</f>
        <v>0</v>
      </c>
      <c r="F6" s="8">
        <f t="shared" ref="F6:F11" si="1">D6/$D$12</f>
        <v>0</v>
      </c>
      <c r="H6" s="6" t="s">
        <v>10</v>
      </c>
      <c r="I6" s="7">
        <v>28</v>
      </c>
      <c r="J6" s="6">
        <v>1</v>
      </c>
      <c r="K6" s="7">
        <f t="shared" ref="K6:K11" si="2">I6*J6</f>
        <v>28</v>
      </c>
      <c r="L6" s="8">
        <f t="shared" ref="L6:L11" si="3">J6/$J$12</f>
        <v>7.8247261345852897E-4</v>
      </c>
      <c r="N6" s="6" t="s">
        <v>10</v>
      </c>
      <c r="O6" s="7">
        <v>27.67</v>
      </c>
      <c r="P6" s="6">
        <v>3</v>
      </c>
      <c r="Q6" s="7">
        <f t="shared" ref="Q6:Q11" si="4">O6*P6</f>
        <v>83.01</v>
      </c>
      <c r="R6" s="8">
        <f t="shared" ref="R6:R11" si="5">P6/$P$12</f>
        <v>4.464285714285714E-3</v>
      </c>
      <c r="S6" s="9"/>
      <c r="T6" s="8">
        <f t="shared" ref="T6:T11" si="6">(D6+J6+P6)/($D$12+$J$12+$P$12)</f>
        <v>6.8834968163827229E-4</v>
      </c>
    </row>
    <row r="7" spans="1:30" x14ac:dyDescent="0.3">
      <c r="B7" s="6" t="s">
        <v>11</v>
      </c>
      <c r="C7" s="7">
        <v>27.47</v>
      </c>
      <c r="D7" s="10">
        <v>1651</v>
      </c>
      <c r="E7" s="7">
        <f t="shared" si="0"/>
        <v>45352.97</v>
      </c>
      <c r="F7" s="8">
        <f t="shared" si="1"/>
        <v>0.42760942760942761</v>
      </c>
      <c r="H7" s="6" t="s">
        <v>11</v>
      </c>
      <c r="I7" s="7">
        <v>28.43</v>
      </c>
      <c r="J7" s="10">
        <v>703</v>
      </c>
      <c r="K7" s="7">
        <f t="shared" si="2"/>
        <v>19986.29</v>
      </c>
      <c r="L7" s="8">
        <f t="shared" si="3"/>
        <v>0.5500782472613458</v>
      </c>
      <c r="N7" s="6" t="s">
        <v>11</v>
      </c>
      <c r="O7" s="7">
        <v>31.96</v>
      </c>
      <c r="P7" s="10">
        <v>561</v>
      </c>
      <c r="Q7" s="7">
        <f t="shared" si="4"/>
        <v>17929.560000000001</v>
      </c>
      <c r="R7" s="8">
        <f t="shared" si="5"/>
        <v>0.8348214285714286</v>
      </c>
      <c r="S7" s="9"/>
      <c r="T7" s="8">
        <f t="shared" si="6"/>
        <v>0.5016348304938909</v>
      </c>
    </row>
    <row r="8" spans="1:30" x14ac:dyDescent="0.3">
      <c r="B8" s="6" t="s">
        <v>12</v>
      </c>
      <c r="C8" s="7">
        <v>34.46</v>
      </c>
      <c r="D8" s="6">
        <v>29</v>
      </c>
      <c r="E8" s="7">
        <f t="shared" si="0"/>
        <v>999.34</v>
      </c>
      <c r="F8" s="8">
        <f t="shared" si="1"/>
        <v>7.5110075110075107E-3</v>
      </c>
      <c r="H8" s="6" t="s">
        <v>12</v>
      </c>
      <c r="I8" s="7">
        <v>38.33</v>
      </c>
      <c r="J8" s="6">
        <v>6</v>
      </c>
      <c r="K8" s="7">
        <f t="shared" si="2"/>
        <v>229.98</v>
      </c>
      <c r="L8" s="8">
        <f t="shared" si="3"/>
        <v>4.6948356807511738E-3</v>
      </c>
      <c r="N8" s="6" t="s">
        <v>12</v>
      </c>
      <c r="O8" s="7">
        <v>0</v>
      </c>
      <c r="P8" s="6">
        <v>0</v>
      </c>
      <c r="Q8" s="7">
        <f t="shared" si="4"/>
        <v>0</v>
      </c>
      <c r="R8" s="8">
        <f t="shared" si="5"/>
        <v>0</v>
      </c>
      <c r="S8" s="9"/>
      <c r="T8" s="8">
        <f t="shared" si="6"/>
        <v>6.0230597143348819E-3</v>
      </c>
    </row>
    <row r="9" spans="1:30" x14ac:dyDescent="0.3">
      <c r="B9" s="6" t="s">
        <v>13</v>
      </c>
      <c r="C9" s="7">
        <v>0</v>
      </c>
      <c r="D9" s="6">
        <v>0</v>
      </c>
      <c r="E9" s="7">
        <f t="shared" si="0"/>
        <v>0</v>
      </c>
      <c r="F9" s="8">
        <f t="shared" si="1"/>
        <v>0</v>
      </c>
      <c r="H9" s="6" t="s">
        <v>13</v>
      </c>
      <c r="I9" s="7">
        <v>0</v>
      </c>
      <c r="J9" s="6">
        <v>0</v>
      </c>
      <c r="K9" s="7">
        <f t="shared" si="2"/>
        <v>0</v>
      </c>
      <c r="L9" s="8">
        <f t="shared" si="3"/>
        <v>0</v>
      </c>
      <c r="N9" s="6" t="s">
        <v>13</v>
      </c>
      <c r="O9" s="7">
        <v>0</v>
      </c>
      <c r="P9" s="6">
        <v>0</v>
      </c>
      <c r="Q9" s="7">
        <f t="shared" si="4"/>
        <v>0</v>
      </c>
      <c r="R9" s="8">
        <f t="shared" si="5"/>
        <v>0</v>
      </c>
      <c r="S9" s="9"/>
      <c r="T9" s="8">
        <f t="shared" si="6"/>
        <v>0</v>
      </c>
    </row>
    <row r="10" spans="1:30" x14ac:dyDescent="0.3">
      <c r="B10" s="6" t="s">
        <v>14</v>
      </c>
      <c r="C10" s="7">
        <v>38.07</v>
      </c>
      <c r="D10" s="6">
        <v>981</v>
      </c>
      <c r="E10" s="7">
        <f t="shared" si="0"/>
        <v>37346.67</v>
      </c>
      <c r="F10" s="8">
        <f t="shared" si="1"/>
        <v>0.25407925407925408</v>
      </c>
      <c r="H10" s="6" t="s">
        <v>14</v>
      </c>
      <c r="I10" s="7">
        <v>42.08</v>
      </c>
      <c r="J10" s="6">
        <v>367</v>
      </c>
      <c r="K10" s="7">
        <f t="shared" si="2"/>
        <v>15443.359999999999</v>
      </c>
      <c r="L10" s="8">
        <f t="shared" si="3"/>
        <v>0.28716744913928011</v>
      </c>
      <c r="N10" s="6" t="s">
        <v>14</v>
      </c>
      <c r="O10" s="7">
        <v>58.32</v>
      </c>
      <c r="P10" s="6">
        <v>33</v>
      </c>
      <c r="Q10" s="7">
        <f t="shared" si="4"/>
        <v>1924.56</v>
      </c>
      <c r="R10" s="8">
        <f t="shared" si="5"/>
        <v>4.9107142857142856E-2</v>
      </c>
      <c r="S10" s="9"/>
      <c r="T10" s="8">
        <f t="shared" si="6"/>
        <v>0.23765272758561348</v>
      </c>
    </row>
    <row r="11" spans="1:30" x14ac:dyDescent="0.3">
      <c r="B11" s="6" t="s">
        <v>15</v>
      </c>
      <c r="C11" s="7">
        <v>33.700000000000003</v>
      </c>
      <c r="D11" s="10">
        <v>1200</v>
      </c>
      <c r="E11" s="7">
        <f t="shared" si="0"/>
        <v>40440</v>
      </c>
      <c r="F11" s="8">
        <f t="shared" si="1"/>
        <v>0.31080031080031079</v>
      </c>
      <c r="H11" s="6" t="s">
        <v>15</v>
      </c>
      <c r="I11" s="7">
        <v>39.29</v>
      </c>
      <c r="J11" s="10">
        <v>201</v>
      </c>
      <c r="K11" s="7">
        <f t="shared" si="2"/>
        <v>7897.29</v>
      </c>
      <c r="L11" s="8">
        <f t="shared" si="3"/>
        <v>0.15727699530516431</v>
      </c>
      <c r="N11" s="6" t="s">
        <v>15</v>
      </c>
      <c r="O11" s="7">
        <v>33.68</v>
      </c>
      <c r="P11" s="10">
        <v>75</v>
      </c>
      <c r="Q11" s="7">
        <f t="shared" si="4"/>
        <v>2526</v>
      </c>
      <c r="R11" s="8">
        <f t="shared" si="5"/>
        <v>0.11160714285714286</v>
      </c>
      <c r="S11" s="9"/>
      <c r="T11" s="8">
        <f t="shared" si="6"/>
        <v>0.25400103252452244</v>
      </c>
    </row>
    <row r="12" spans="1:30" x14ac:dyDescent="0.3">
      <c r="B12" s="11" t="s">
        <v>16</v>
      </c>
      <c r="C12" s="12">
        <f>E12/D12</f>
        <v>32.152027972027973</v>
      </c>
      <c r="D12" s="13">
        <f>SUM(D6:D11)</f>
        <v>3861</v>
      </c>
      <c r="E12" s="12">
        <f>SUM(E6:E11)</f>
        <v>124138.98</v>
      </c>
      <c r="F12" s="14">
        <f>D12/(D$12+D$29)</f>
        <v>0.59758551307847085</v>
      </c>
      <c r="H12" s="11" t="s">
        <v>16</v>
      </c>
      <c r="I12" s="12">
        <f>K12/J12</f>
        <v>34.10400625978091</v>
      </c>
      <c r="J12" s="13">
        <f>SUM(J6:J11)</f>
        <v>1278</v>
      </c>
      <c r="K12" s="12">
        <f>SUM(K6:K11)</f>
        <v>43584.92</v>
      </c>
      <c r="L12" s="14">
        <f>J12/(J$12+J$29)</f>
        <v>0.50196386488609579</v>
      </c>
      <c r="N12" s="11" t="s">
        <v>16</v>
      </c>
      <c r="O12" s="12">
        <f>Q12/P12</f>
        <v>33.427276785714284</v>
      </c>
      <c r="P12" s="13">
        <f>SUM(P6:P11)</f>
        <v>672</v>
      </c>
      <c r="Q12" s="12">
        <f>SUM(Q6:Q11)</f>
        <v>22463.13</v>
      </c>
      <c r="R12" s="14">
        <f>P12/(P$12+P$29)</f>
        <v>0.56613310867733779</v>
      </c>
      <c r="S12" s="15"/>
      <c r="T12" s="14">
        <f>(D12+J12+P12)/($D$12+$J$12+$P$12+$P$29+$J$29+$D$29)</f>
        <v>0.57004120070629782</v>
      </c>
    </row>
    <row r="13" spans="1:30" x14ac:dyDescent="0.3">
      <c r="F13" s="1"/>
    </row>
    <row r="14" spans="1:30" x14ac:dyDescent="0.3">
      <c r="F14" s="1"/>
    </row>
    <row r="15" spans="1:30" x14ac:dyDescent="0.3">
      <c r="B15" s="20" t="s">
        <v>27</v>
      </c>
      <c r="C15" s="20"/>
      <c r="D15" s="20"/>
      <c r="E15" s="12">
        <f>(E12+K12+Q12)/(D12+J12+P12)</f>
        <v>32.728795388057129</v>
      </c>
      <c r="F15" s="1"/>
    </row>
    <row r="16" spans="1:30" x14ac:dyDescent="0.3">
      <c r="B16" s="16"/>
      <c r="C16" s="16"/>
      <c r="D16" s="16"/>
      <c r="E16" s="17"/>
      <c r="F16" s="1"/>
    </row>
    <row r="17" spans="2:20" x14ac:dyDescent="0.3">
      <c r="B17" s="16"/>
      <c r="C17" s="16"/>
      <c r="D17" s="16"/>
      <c r="E17" s="17"/>
      <c r="F17" s="1"/>
    </row>
    <row r="18" spans="2:20" x14ac:dyDescent="0.3">
      <c r="F18" s="1"/>
    </row>
    <row r="19" spans="2:20" x14ac:dyDescent="0.3">
      <c r="B19" s="19" t="s">
        <v>18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2:20" x14ac:dyDescent="0.3">
      <c r="F20" s="1"/>
    </row>
    <row r="21" spans="2:20" x14ac:dyDescent="0.3">
      <c r="B21" s="19" t="s">
        <v>1</v>
      </c>
      <c r="C21" s="19"/>
      <c r="D21" s="19"/>
      <c r="E21" s="19"/>
      <c r="F21" s="19"/>
      <c r="H21" s="19" t="s">
        <v>2</v>
      </c>
      <c r="I21" s="19"/>
      <c r="J21" s="19"/>
      <c r="K21" s="19"/>
      <c r="L21" s="19"/>
      <c r="N21" s="19" t="s">
        <v>3</v>
      </c>
      <c r="O21" s="19"/>
      <c r="P21" s="19"/>
      <c r="Q21" s="19"/>
      <c r="R21" s="19"/>
      <c r="S21" s="2"/>
    </row>
    <row r="22" spans="2:20" ht="28.8" customHeight="1" x14ac:dyDescent="0.3"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3"/>
      <c r="H22" s="4" t="s">
        <v>4</v>
      </c>
      <c r="I22" s="4" t="s">
        <v>5</v>
      </c>
      <c r="J22" s="4" t="s">
        <v>6</v>
      </c>
      <c r="K22" s="4" t="s">
        <v>7</v>
      </c>
      <c r="L22" s="4" t="s">
        <v>8</v>
      </c>
      <c r="M22" s="3"/>
      <c r="N22" s="4" t="s">
        <v>4</v>
      </c>
      <c r="O22" s="4" t="s">
        <v>5</v>
      </c>
      <c r="P22" s="4" t="s">
        <v>6</v>
      </c>
      <c r="Q22" s="4" t="s">
        <v>7</v>
      </c>
      <c r="R22" s="4" t="s">
        <v>8</v>
      </c>
      <c r="S22" s="5"/>
      <c r="T22" s="4" t="s">
        <v>19</v>
      </c>
    </row>
    <row r="23" spans="2:20" x14ac:dyDescent="0.3">
      <c r="B23" s="6" t="s">
        <v>20</v>
      </c>
      <c r="C23" s="7">
        <v>31.47</v>
      </c>
      <c r="D23" s="10">
        <v>1278</v>
      </c>
      <c r="E23" s="7">
        <f t="shared" ref="E23:E28" si="7">C23*D23</f>
        <v>40218.659999999996</v>
      </c>
      <c r="F23" s="8">
        <f t="shared" ref="F23:F28" si="8">D23/$D$29</f>
        <v>0.49153846153846154</v>
      </c>
      <c r="H23" s="6" t="s">
        <v>20</v>
      </c>
      <c r="I23" s="7">
        <v>36.869999999999997</v>
      </c>
      <c r="J23" s="6">
        <v>649</v>
      </c>
      <c r="K23" s="7">
        <f t="shared" ref="K23:K28" si="9">I23*J23</f>
        <v>23928.629999999997</v>
      </c>
      <c r="L23" s="8">
        <f t="shared" ref="L23:L28" si="10">J23/$J$29</f>
        <v>0.51182965299684546</v>
      </c>
      <c r="N23" s="6" t="s">
        <v>20</v>
      </c>
      <c r="O23" s="7">
        <v>30.68</v>
      </c>
      <c r="P23" s="6">
        <v>238</v>
      </c>
      <c r="Q23" s="7">
        <f t="shared" ref="Q23:Q28" si="11">O23*P23</f>
        <v>7301.84</v>
      </c>
      <c r="R23" s="8">
        <f t="shared" ref="R23:R28" si="12">P23/$P$29</f>
        <v>0.46213592233009709</v>
      </c>
      <c r="S23" s="9"/>
      <c r="T23" s="8">
        <f t="shared" ref="T23:T28" si="13">(D23+J23+P23)/($D$29+$J$29+$P$29)</f>
        <v>0.49395391284508328</v>
      </c>
    </row>
    <row r="24" spans="2:20" x14ac:dyDescent="0.3">
      <c r="B24" s="6" t="s">
        <v>21</v>
      </c>
      <c r="C24" s="7">
        <v>40.64</v>
      </c>
      <c r="D24" s="10">
        <v>104</v>
      </c>
      <c r="E24" s="7">
        <f t="shared" si="7"/>
        <v>4226.5600000000004</v>
      </c>
      <c r="F24" s="8">
        <f t="shared" si="8"/>
        <v>0.04</v>
      </c>
      <c r="H24" s="6" t="s">
        <v>21</v>
      </c>
      <c r="I24" s="7">
        <v>49.44</v>
      </c>
      <c r="J24" s="10">
        <v>44</v>
      </c>
      <c r="K24" s="7">
        <f t="shared" si="9"/>
        <v>2175.3599999999997</v>
      </c>
      <c r="L24" s="8">
        <f t="shared" si="10"/>
        <v>3.4700315457413249E-2</v>
      </c>
      <c r="N24" s="6" t="s">
        <v>21</v>
      </c>
      <c r="O24" s="7">
        <v>55.62</v>
      </c>
      <c r="P24" s="10">
        <v>32</v>
      </c>
      <c r="Q24" s="7">
        <f t="shared" si="11"/>
        <v>1779.84</v>
      </c>
      <c r="R24" s="8">
        <f t="shared" si="12"/>
        <v>6.2135922330097085E-2</v>
      </c>
      <c r="S24" s="9"/>
      <c r="T24" s="8">
        <f t="shared" si="13"/>
        <v>4.1067761806981518E-2</v>
      </c>
    </row>
    <row r="25" spans="2:20" x14ac:dyDescent="0.3">
      <c r="B25" s="6" t="s">
        <v>22</v>
      </c>
      <c r="C25" s="7">
        <v>36.53</v>
      </c>
      <c r="D25" s="6">
        <v>144</v>
      </c>
      <c r="E25" s="7">
        <f t="shared" si="7"/>
        <v>5260.32</v>
      </c>
      <c r="F25" s="8">
        <f t="shared" si="8"/>
        <v>5.5384615384615386E-2</v>
      </c>
      <c r="H25" s="6" t="s">
        <v>22</v>
      </c>
      <c r="I25" s="7">
        <v>41.16</v>
      </c>
      <c r="J25" s="6">
        <v>88</v>
      </c>
      <c r="K25" s="7">
        <f t="shared" si="9"/>
        <v>3622.08</v>
      </c>
      <c r="L25" s="8">
        <f t="shared" si="10"/>
        <v>6.9400630914826497E-2</v>
      </c>
      <c r="N25" s="6" t="s">
        <v>22</v>
      </c>
      <c r="O25" s="7">
        <v>29</v>
      </c>
      <c r="P25" s="6">
        <v>7</v>
      </c>
      <c r="Q25" s="7">
        <f t="shared" si="11"/>
        <v>203</v>
      </c>
      <c r="R25" s="8">
        <f t="shared" si="12"/>
        <v>1.3592233009708738E-2</v>
      </c>
      <c r="S25" s="9"/>
      <c r="T25" s="8">
        <f t="shared" si="13"/>
        <v>5.452886151038102E-2</v>
      </c>
    </row>
    <row r="26" spans="2:20" x14ac:dyDescent="0.3">
      <c r="B26" s="6" t="s">
        <v>23</v>
      </c>
      <c r="C26" s="7">
        <v>37.020000000000003</v>
      </c>
      <c r="D26" s="6">
        <v>634</v>
      </c>
      <c r="E26" s="7">
        <f t="shared" si="7"/>
        <v>23470.68</v>
      </c>
      <c r="F26" s="8">
        <f t="shared" si="8"/>
        <v>0.24384615384615385</v>
      </c>
      <c r="H26" s="6" t="s">
        <v>23</v>
      </c>
      <c r="I26" s="7">
        <v>38.17</v>
      </c>
      <c r="J26" s="6">
        <v>284</v>
      </c>
      <c r="K26" s="7">
        <f t="shared" si="9"/>
        <v>10840.28</v>
      </c>
      <c r="L26" s="8">
        <f t="shared" si="10"/>
        <v>0.22397476340694006</v>
      </c>
      <c r="N26" s="6" t="s">
        <v>23</v>
      </c>
      <c r="O26" s="7">
        <v>31.29</v>
      </c>
      <c r="P26" s="6">
        <v>142</v>
      </c>
      <c r="Q26" s="7">
        <f t="shared" si="11"/>
        <v>4443.18</v>
      </c>
      <c r="R26" s="8">
        <f t="shared" si="12"/>
        <v>0.27572815533980582</v>
      </c>
      <c r="S26" s="9"/>
      <c r="T26" s="8">
        <f t="shared" si="13"/>
        <v>0.24184348619666896</v>
      </c>
    </row>
    <row r="27" spans="2:20" x14ac:dyDescent="0.3">
      <c r="B27" s="6" t="s">
        <v>24</v>
      </c>
      <c r="C27" s="7">
        <v>35.270000000000003</v>
      </c>
      <c r="D27" s="6">
        <v>31</v>
      </c>
      <c r="E27" s="7">
        <f t="shared" si="7"/>
        <v>1093.3700000000001</v>
      </c>
      <c r="F27" s="8">
        <f t="shared" si="8"/>
        <v>1.1923076923076923E-2</v>
      </c>
      <c r="H27" s="6" t="s">
        <v>24</v>
      </c>
      <c r="I27" s="7">
        <v>38.590000000000003</v>
      </c>
      <c r="J27" s="6">
        <v>8</v>
      </c>
      <c r="K27" s="7">
        <f t="shared" si="9"/>
        <v>308.72000000000003</v>
      </c>
      <c r="L27" s="8">
        <f t="shared" si="10"/>
        <v>6.3091482649842269E-3</v>
      </c>
      <c r="N27" s="6" t="s">
        <v>24</v>
      </c>
      <c r="O27" s="7">
        <v>31</v>
      </c>
      <c r="P27" s="6">
        <v>8</v>
      </c>
      <c r="Q27" s="7">
        <f t="shared" si="11"/>
        <v>248</v>
      </c>
      <c r="R27" s="8">
        <f t="shared" si="12"/>
        <v>1.5533980582524271E-2</v>
      </c>
      <c r="S27" s="9"/>
      <c r="T27" s="8">
        <f t="shared" si="13"/>
        <v>1.0723248916267396E-2</v>
      </c>
    </row>
    <row r="28" spans="2:20" x14ac:dyDescent="0.3">
      <c r="B28" s="6" t="s">
        <v>25</v>
      </c>
      <c r="C28" s="7">
        <v>36.15</v>
      </c>
      <c r="D28" s="10">
        <v>409</v>
      </c>
      <c r="E28" s="7">
        <f t="shared" si="7"/>
        <v>14785.349999999999</v>
      </c>
      <c r="F28" s="8">
        <f t="shared" si="8"/>
        <v>0.15730769230769232</v>
      </c>
      <c r="H28" s="6" t="s">
        <v>25</v>
      </c>
      <c r="I28" s="7">
        <v>36.56</v>
      </c>
      <c r="J28" s="10">
        <v>195</v>
      </c>
      <c r="K28" s="7">
        <f t="shared" si="9"/>
        <v>7129.2000000000007</v>
      </c>
      <c r="L28" s="8">
        <f t="shared" si="10"/>
        <v>0.15378548895899052</v>
      </c>
      <c r="N28" s="6" t="s">
        <v>25</v>
      </c>
      <c r="O28" s="7">
        <v>31.45</v>
      </c>
      <c r="P28" s="10">
        <v>88</v>
      </c>
      <c r="Q28" s="7">
        <f t="shared" si="11"/>
        <v>2767.6</v>
      </c>
      <c r="R28" s="8">
        <f t="shared" si="12"/>
        <v>0.17087378640776699</v>
      </c>
      <c r="S28" s="9"/>
      <c r="T28" s="8">
        <f t="shared" si="13"/>
        <v>0.15788272872461784</v>
      </c>
    </row>
    <row r="29" spans="2:20" x14ac:dyDescent="0.3">
      <c r="B29" s="11" t="s">
        <v>16</v>
      </c>
      <c r="C29" s="12">
        <f>E29/D29</f>
        <v>34.251899999999999</v>
      </c>
      <c r="D29" s="13">
        <f>SUM(D23:D28)</f>
        <v>2600</v>
      </c>
      <c r="E29" s="12">
        <f>SUM(E23:E28)</f>
        <v>89054.94</v>
      </c>
      <c r="F29" s="14">
        <f>D29/(D$12+D$29)</f>
        <v>0.4024144869215292</v>
      </c>
      <c r="H29" s="11" t="s">
        <v>16</v>
      </c>
      <c r="I29" s="12">
        <f>K29/J29</f>
        <v>37.8582570977918</v>
      </c>
      <c r="J29" s="13">
        <f>SUM(J23:J28)</f>
        <v>1268</v>
      </c>
      <c r="K29" s="12">
        <f>SUM(K23:K28)</f>
        <v>48004.270000000004</v>
      </c>
      <c r="L29" s="14">
        <f>J29/(J$12+J$29)</f>
        <v>0.49803613511390415</v>
      </c>
      <c r="N29" s="11" t="s">
        <v>16</v>
      </c>
      <c r="O29" s="12">
        <f>Q29/P29</f>
        <v>32.511572815533981</v>
      </c>
      <c r="P29" s="13">
        <f>SUM(P23:P28)</f>
        <v>515</v>
      </c>
      <c r="Q29" s="12">
        <f>SUM(Q23:Q28)</f>
        <v>16743.46</v>
      </c>
      <c r="R29" s="14">
        <f>P29/(P$12+P$29)</f>
        <v>0.43386689132266215</v>
      </c>
      <c r="S29" s="15"/>
      <c r="T29" s="14">
        <f>(D29+J29+P29)/($D$12+$J$12+$P$12+$P$29+$J$29+$D$29)</f>
        <v>0.42995879929370218</v>
      </c>
    </row>
    <row r="30" spans="2:20" x14ac:dyDescent="0.3">
      <c r="F30" s="1"/>
    </row>
    <row r="31" spans="2:20" x14ac:dyDescent="0.3">
      <c r="F31" s="1"/>
    </row>
    <row r="32" spans="2:20" x14ac:dyDescent="0.3">
      <c r="B32" s="20" t="s">
        <v>26</v>
      </c>
      <c r="C32" s="20"/>
      <c r="D32" s="20"/>
      <c r="E32" s="12">
        <f>(E29+K29+Q29)/(D29+J29+P29)</f>
        <v>35.090730093543236</v>
      </c>
      <c r="F32" s="1"/>
    </row>
    <row r="33" spans="2:20" x14ac:dyDescent="0.3">
      <c r="F33" s="1"/>
    </row>
    <row r="34" spans="2:20" x14ac:dyDescent="0.3">
      <c r="B34" s="21" t="s">
        <v>28</v>
      </c>
      <c r="C34" s="21"/>
      <c r="D34" s="21"/>
      <c r="E34" s="12">
        <f>E12+K12+Q12+E29+K29+Q29</f>
        <v>343989.7</v>
      </c>
      <c r="F34" s="1"/>
      <c r="J34" s="18"/>
      <c r="P34" s="18"/>
      <c r="T34" s="18"/>
    </row>
    <row r="35" spans="2:20" x14ac:dyDescent="0.3">
      <c r="B35" s="21" t="s">
        <v>29</v>
      </c>
      <c r="C35" s="21"/>
      <c r="D35" s="21"/>
      <c r="E35" s="13">
        <f>D12+J12+P12+P29+J29+D29</f>
        <v>10194</v>
      </c>
    </row>
    <row r="36" spans="2:20" x14ac:dyDescent="0.3">
      <c r="B36" s="21" t="s">
        <v>17</v>
      </c>
      <c r="C36" s="21"/>
      <c r="D36" s="21"/>
      <c r="E36" s="12">
        <f>E34/E35</f>
        <v>33.744329998038062</v>
      </c>
    </row>
  </sheetData>
  <mergeCells count="13">
    <mergeCell ref="B34:D34"/>
    <mergeCell ref="B35:D35"/>
    <mergeCell ref="B36:D36"/>
    <mergeCell ref="B19:R19"/>
    <mergeCell ref="B21:F21"/>
    <mergeCell ref="H21:L21"/>
    <mergeCell ref="N21:R21"/>
    <mergeCell ref="B32:D32"/>
    <mergeCell ref="B2:R2"/>
    <mergeCell ref="B4:F4"/>
    <mergeCell ref="H4:L4"/>
    <mergeCell ref="N4:R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Ene-Abr</vt:lpstr>
      <vt:lpstr>May-Ago</vt:lpstr>
      <vt:lpstr>Sep-Dic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2026-05-22T17:03:49Z</dcterms:created>
  <dcterms:modified xsi:type="dcterms:W3CDTF">2026-05-22T22:01:21Z</dcterms:modified>
</cp:coreProperties>
</file>